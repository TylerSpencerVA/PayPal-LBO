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2df6c5ece268d3f/Documents/Professional/Finance Modeling Projects/PayPal LBO/"/>
    </mc:Choice>
  </mc:AlternateContent>
  <xr:revisionPtr revIDLastSave="8919" documentId="13_ncr:1_{8EFF9C3F-E1E6-421F-BD45-1FD202876A34}" xr6:coauthVersionLast="47" xr6:coauthVersionMax="47" xr10:uidLastSave="{65DB3ECA-2A45-4474-A9E7-76B33A47038A}"/>
  <bookViews>
    <workbookView xWindow="-108" yWindow="-108" windowWidth="23256" windowHeight="12456" xr2:uid="{00000000-000D-0000-FFFF-FFFF00000000}"/>
  </bookViews>
  <sheets>
    <sheet name="Cover" sheetId="12" r:id="rId1"/>
    <sheet name="Summary Outputs" sheetId="13" r:id="rId2"/>
    <sheet name="Assumptions" sheetId="14" r:id="rId3"/>
    <sheet name="Scenarios" sheetId="15" r:id="rId4"/>
    <sheet name="Revenue Build" sheetId="27" r:id="rId5"/>
    <sheet name="IS" sheetId="16" r:id="rId6"/>
    <sheet name="BS" sheetId="17" r:id="rId7"/>
    <sheet name="CFS" sheetId="18" r:id="rId8"/>
    <sheet name="Working Capital Schedule" sheetId="35" r:id="rId9"/>
    <sheet name="D&amp;A Schedule" sheetId="20" r:id="rId10"/>
    <sheet name="Debt Schedule" sheetId="19" r:id="rId11"/>
    <sheet name="Income Tax Schedule" sheetId="21" r:id="rId12"/>
    <sheet name="Equity Schedule" sheetId="23" r:id="rId13"/>
    <sheet name="DCF" sheetId="25" r:id="rId14"/>
    <sheet name="Comps" sheetId="36" r:id="rId15"/>
    <sheet name="Precedents" sheetId="37" r:id="rId16"/>
    <sheet name="LBO" sheetId="26" r:id="rId17"/>
    <sheet name="IS Pro Forma" sheetId="28" r:id="rId18"/>
    <sheet name="BS Pro Forma" sheetId="34" r:id="rId19"/>
    <sheet name="CFS Pro Forma" sheetId="31" r:id="rId20"/>
    <sheet name="LBO Tax Schedule" sheetId="30" r:id="rId21"/>
    <sheet name="LBO Debt Schedule" sheetId="29" r:id="rId22"/>
    <sheet name="LBO Exit Valuation" sheetId="32" r:id="rId23"/>
    <sheet name="LBO Returns" sheetId="33" r:id="rId24"/>
    <sheet name="Sources" sheetId="38" r:id="rId25"/>
  </sheets>
  <definedNames>
    <definedName name="_xlchart.v1.0" hidden="1">'Summary Outputs'!$C$35:$C$40</definedName>
    <definedName name="_xlchart.v1.1" hidden="1">'Summary Outputs'!$H$33</definedName>
    <definedName name="_xlchart.v1.2" hidden="1">'Summary Outputs'!$H$35:$H$40</definedName>
    <definedName name="Inv_Cap">#REF!</definedName>
    <definedName name="NOPLAT">#REF!</definedName>
    <definedName name="One">#REF!</definedName>
    <definedName name="_xlnm.Print_Area" localSheetId="2">Assumptions!$A$1:$N$76</definedName>
    <definedName name="_xlnm.Print_Area" localSheetId="6">BS!$A$1:$L$49</definedName>
    <definedName name="_xlnm.Print_Area" localSheetId="18">'BS Pro Forma'!$A$1:$L$51</definedName>
    <definedName name="_xlnm.Print_Area" localSheetId="7">CFS!$A$1:$L$34</definedName>
    <definedName name="_xlnm.Print_Area" localSheetId="19">'CFS Pro Forma'!$A$1:$L$35</definedName>
    <definedName name="_xlnm.Print_Area" localSheetId="14">Comps!$A$1:$M$65</definedName>
    <definedName name="_xlnm.Print_Area" localSheetId="0">Cover!$A$1:$K$34</definedName>
    <definedName name="_xlnm.Print_Area" localSheetId="9">'D&amp;A Schedule'!$A$1:$K$30</definedName>
    <definedName name="_xlnm.Print_Area" localSheetId="13">DCF!$A$1:$I$169</definedName>
    <definedName name="_xlnm.Print_Area" localSheetId="10">'Debt Schedule'!$A$1:$L$40</definedName>
    <definedName name="_xlnm.Print_Area" localSheetId="12">'Equity Schedule'!$A$1:$L$36</definedName>
    <definedName name="_xlnm.Print_Area" localSheetId="11">'Income Tax Schedule'!$A$1:$L$20</definedName>
    <definedName name="_xlnm.Print_Area" localSheetId="5">IS!$A$1:$L$46</definedName>
    <definedName name="_xlnm.Print_Area" localSheetId="17">'IS Pro Forma'!$A$1:$L$43</definedName>
    <definedName name="_xlnm.Print_Area" localSheetId="16">LBO!$A$1:$J$52</definedName>
    <definedName name="_xlnm.Print_Area" localSheetId="21">'LBO Debt Schedule'!$A$1:$L$94</definedName>
    <definedName name="_xlnm.Print_Area" localSheetId="22">'LBO Exit Valuation'!$A$1:$K$20</definedName>
    <definedName name="_xlnm.Print_Area" localSheetId="23">'LBO Returns'!$A$1:$K$33</definedName>
    <definedName name="_xlnm.Print_Area" localSheetId="20">'LBO Tax Schedule'!$A$1:$L$20</definedName>
    <definedName name="_xlnm.Print_Area" localSheetId="15">Precedents!$A$1:$J$88</definedName>
    <definedName name="_xlnm.Print_Area" localSheetId="4">'Revenue Build'!$A$1:$L$25</definedName>
    <definedName name="_xlnm.Print_Area" localSheetId="3">Scenarios!$A$1:$M$50</definedName>
    <definedName name="_xlnm.Print_Area" localSheetId="24">Sources!$A$1:$O$74</definedName>
    <definedName name="_xlnm.Print_Area" localSheetId="1">'Summary Outputs'!$A$1:$P$85</definedName>
    <definedName name="_xlnm.Print_Area" localSheetId="8">'Working Capital Schedule'!$A$1:$L$34</definedName>
    <definedName name="_xlnm.Print_Titles" localSheetId="2">Assumptions!$1:$4</definedName>
    <definedName name="_xlnm.Print_Titles" localSheetId="6">BS!$1:$4</definedName>
    <definedName name="_xlnm.Print_Titles" localSheetId="18">'BS Pro Forma'!$1:$4</definedName>
    <definedName name="_xlnm.Print_Titles" localSheetId="7">CFS!$1:$4</definedName>
    <definedName name="_xlnm.Print_Titles" localSheetId="14">Comps!$1:$4</definedName>
    <definedName name="_xlnm.Print_Titles" localSheetId="13">DCF!$1:$4</definedName>
    <definedName name="_xlnm.Print_Titles" localSheetId="10">'Debt Schedule'!$1:$4</definedName>
    <definedName name="_xlnm.Print_Titles" localSheetId="5">IS!$1:$4</definedName>
    <definedName name="_xlnm.Print_Titles" localSheetId="16">LBO!$1:$4</definedName>
    <definedName name="_xlnm.Print_Titles" localSheetId="21">'LBO Debt Schedule'!$1:$4</definedName>
    <definedName name="_xlnm.Print_Titles" localSheetId="15">Precedents!$1:$4</definedName>
    <definedName name="_xlnm.Print_Titles" localSheetId="3">Scenarios!$1:$4</definedName>
    <definedName name="_xlnm.Print_Titles" localSheetId="24">Sources!$1:$3</definedName>
    <definedName name="_xlnm.Print_Titles" localSheetId="1">'Summary Outputs'!$1:$4</definedName>
    <definedName name="Products">#REF!</definedName>
    <definedName name="Rev">#REF!</definedName>
  </definedNames>
  <calcPr calcId="191029" calcMode="autoNoTable" iterate="1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29" l="1"/>
  <c r="K34" i="29"/>
  <c r="L34" i="29"/>
  <c r="I34" i="29"/>
  <c r="J42" i="29"/>
  <c r="K42" i="29"/>
  <c r="L42" i="29" s="1"/>
  <c r="I42" i="29"/>
  <c r="J72" i="29"/>
  <c r="K72" i="29" s="1"/>
  <c r="L72" i="29" s="1"/>
  <c r="I72" i="29"/>
  <c r="H18" i="15"/>
  <c r="J12" i="23"/>
  <c r="K12" i="23" s="1"/>
  <c r="L12" i="23" s="1"/>
  <c r="I12" i="23"/>
  <c r="O1" i="38"/>
  <c r="K1" i="33"/>
  <c r="K1" i="32"/>
  <c r="L1" i="29"/>
  <c r="L1" i="30"/>
  <c r="L1" i="31"/>
  <c r="L1" i="34"/>
  <c r="L1" i="28"/>
  <c r="J1" i="26"/>
  <c r="J1" i="37"/>
  <c r="M1" i="36"/>
  <c r="I1" i="25"/>
  <c r="L1" i="23"/>
  <c r="L1" i="21"/>
  <c r="L1" i="19"/>
  <c r="K1" i="20"/>
  <c r="L1" i="35"/>
  <c r="L1" i="18"/>
  <c r="L1" i="17"/>
  <c r="L1" i="16"/>
  <c r="L1" i="27"/>
  <c r="L1" i="15"/>
  <c r="N1" i="14"/>
  <c r="O1" i="13"/>
  <c r="B8" i="36"/>
  <c r="E8" i="26"/>
  <c r="F13" i="36"/>
  <c r="E10" i="26"/>
  <c r="E21" i="26" s="1"/>
  <c r="F82" i="37"/>
  <c r="E82" i="37"/>
  <c r="K10" i="36"/>
  <c r="K11" i="36"/>
  <c r="E86" i="37"/>
  <c r="F86" i="37"/>
  <c r="F11" i="36"/>
  <c r="H38" i="37"/>
  <c r="H36" i="37"/>
  <c r="F36" i="37"/>
  <c r="J36" i="37"/>
  <c r="G36" i="37"/>
  <c r="E36" i="37"/>
  <c r="I36" i="37"/>
  <c r="E38" i="37"/>
  <c r="I16" i="33"/>
  <c r="J16" i="33" s="1"/>
  <c r="H16" i="33"/>
  <c r="H69" i="37"/>
  <c r="G69" i="37"/>
  <c r="F59" i="37"/>
  <c r="F58" i="37"/>
  <c r="F57" i="37"/>
  <c r="J69" i="37"/>
  <c r="E69" i="37"/>
  <c r="I22" i="27"/>
  <c r="J22" i="27"/>
  <c r="K22" i="27"/>
  <c r="L22" i="27"/>
  <c r="H22" i="27"/>
  <c r="E6" i="30"/>
  <c r="J17" i="28"/>
  <c r="K17" i="28" s="1"/>
  <c r="L17" i="28" s="1"/>
  <c r="I17" i="28"/>
  <c r="H17" i="15"/>
  <c r="I17" i="15"/>
  <c r="G56" i="37"/>
  <c r="H56" i="37"/>
  <c r="I56" i="37"/>
  <c r="D27" i="33"/>
  <c r="N51" i="13"/>
  <c r="I29" i="26"/>
  <c r="G29" i="26"/>
  <c r="E29" i="26"/>
  <c r="I57" i="37"/>
  <c r="F55" i="37"/>
  <c r="H48" i="15"/>
  <c r="I55" i="37"/>
  <c r="I59" i="37"/>
  <c r="I58" i="37"/>
  <c r="I21" i="26" l="1"/>
  <c r="G21" i="26"/>
  <c r="F47" i="37"/>
  <c r="F49" i="37" s="1"/>
  <c r="J17" i="15"/>
  <c r="K17" i="15"/>
  <c r="L17" i="15"/>
  <c r="E24" i="27"/>
  <c r="E22" i="27"/>
  <c r="G22" i="27"/>
  <c r="H21" i="27"/>
  <c r="F22" i="27"/>
  <c r="H47" i="37"/>
  <c r="H49" i="37" s="1"/>
  <c r="G47" i="37"/>
  <c r="G49" i="37" s="1"/>
  <c r="J47" i="37"/>
  <c r="J49" i="37" s="1"/>
  <c r="E47" i="37"/>
  <c r="E49" i="37" s="1"/>
  <c r="I47" i="37"/>
  <c r="I49" i="37" s="1"/>
  <c r="G38" i="37"/>
  <c r="J38" i="37"/>
  <c r="I38" i="37"/>
  <c r="F38" i="37"/>
  <c r="H23" i="27" l="1"/>
  <c r="I21" i="27"/>
  <c r="J21" i="27" s="1"/>
  <c r="H51" i="37"/>
  <c r="H63" i="37" s="1"/>
  <c r="F51" i="37"/>
  <c r="F66" i="37" s="1"/>
  <c r="E51" i="37"/>
  <c r="J51" i="37"/>
  <c r="I51" i="37"/>
  <c r="G51" i="37"/>
  <c r="G63" i="37" l="1"/>
  <c r="G66" i="37"/>
  <c r="J66" i="37"/>
  <c r="J65" i="37"/>
  <c r="E66" i="37"/>
  <c r="E63" i="37"/>
  <c r="I23" i="27"/>
  <c r="I66" i="37"/>
  <c r="I64" i="37"/>
  <c r="G64" i="37"/>
  <c r="J64" i="37"/>
  <c r="H66" i="37"/>
  <c r="H64" i="37"/>
  <c r="E64" i="37"/>
  <c r="F64" i="37"/>
  <c r="F63" i="37"/>
  <c r="G65" i="37"/>
  <c r="J63" i="37"/>
  <c r="H65" i="37"/>
  <c r="I63" i="37"/>
  <c r="I65" i="37"/>
  <c r="J23" i="27"/>
  <c r="K21" i="27"/>
  <c r="H75" i="37" l="1"/>
  <c r="H77" i="37"/>
  <c r="F77" i="37"/>
  <c r="F76" i="37"/>
  <c r="F75" i="37"/>
  <c r="F74" i="37"/>
  <c r="H76" i="37"/>
  <c r="H74" i="37"/>
  <c r="E75" i="37"/>
  <c r="E74" i="37"/>
  <c r="E77" i="37"/>
  <c r="E76" i="37"/>
  <c r="L21" i="27"/>
  <c r="L23" i="27" s="1"/>
  <c r="K23" i="27"/>
  <c r="H29" i="37" l="1"/>
  <c r="H31" i="37"/>
  <c r="G31" i="37"/>
  <c r="H30" i="37"/>
  <c r="G30" i="37"/>
  <c r="G29" i="37"/>
  <c r="L48" i="15" l="1"/>
  <c r="K48" i="15"/>
  <c r="J48" i="15"/>
  <c r="I48" i="15"/>
  <c r="L46" i="15"/>
  <c r="K46" i="15"/>
  <c r="J46" i="15"/>
  <c r="I46" i="15"/>
  <c r="I69" i="37"/>
  <c r="F29" i="37"/>
  <c r="F65" i="37"/>
  <c r="J31" i="37"/>
  <c r="I31" i="37"/>
  <c r="F31" i="37"/>
  <c r="E31" i="37"/>
  <c r="J30" i="37"/>
  <c r="I30" i="37"/>
  <c r="F30" i="37"/>
  <c r="E30" i="37"/>
  <c r="J29" i="37"/>
  <c r="E29" i="37"/>
  <c r="B13" i="37"/>
  <c r="F7" i="37"/>
  <c r="G7" i="37" s="1"/>
  <c r="H7" i="37" s="1"/>
  <c r="I7" i="37" l="1"/>
  <c r="J7" i="37" s="1"/>
  <c r="J77" i="37"/>
  <c r="J76" i="37"/>
  <c r="J75" i="37"/>
  <c r="J74" i="37"/>
  <c r="E65" i="37"/>
  <c r="F69" i="37"/>
  <c r="I29" i="37"/>
  <c r="B2" i="37"/>
  <c r="H46" i="15"/>
  <c r="H44" i="15"/>
  <c r="E14" i="26" s="1"/>
  <c r="L44" i="15"/>
  <c r="K44" i="15"/>
  <c r="J44" i="15"/>
  <c r="I44" i="15"/>
  <c r="G33" i="35"/>
  <c r="F33" i="35"/>
  <c r="G25" i="35"/>
  <c r="F25" i="35"/>
  <c r="K21" i="36"/>
  <c r="L21" i="36"/>
  <c r="M21" i="36"/>
  <c r="I10" i="36"/>
  <c r="K29" i="36"/>
  <c r="F10" i="36"/>
  <c r="M41" i="36"/>
  <c r="L41" i="36"/>
  <c r="K41" i="36"/>
  <c r="J41" i="36"/>
  <c r="I41" i="36"/>
  <c r="H41" i="36"/>
  <c r="M37" i="36"/>
  <c r="L37" i="36"/>
  <c r="K37" i="36"/>
  <c r="J37" i="36"/>
  <c r="I37" i="36"/>
  <c r="H37" i="36"/>
  <c r="M33" i="36"/>
  <c r="L33" i="36"/>
  <c r="K33" i="36"/>
  <c r="J33" i="36"/>
  <c r="I33" i="36"/>
  <c r="H33" i="36"/>
  <c r="K25" i="36"/>
  <c r="M29" i="36"/>
  <c r="L29" i="36"/>
  <c r="J29" i="36"/>
  <c r="I29" i="36"/>
  <c r="H29" i="36"/>
  <c r="L25" i="36"/>
  <c r="M25" i="36"/>
  <c r="J25" i="36"/>
  <c r="I25" i="36"/>
  <c r="H25" i="36"/>
  <c r="J21" i="36"/>
  <c r="I21" i="36"/>
  <c r="H21" i="36"/>
  <c r="J10" i="36"/>
  <c r="G75" i="37" l="1"/>
  <c r="G74" i="37"/>
  <c r="G76" i="37"/>
  <c r="M63" i="36"/>
  <c r="L63" i="36"/>
  <c r="K63" i="36"/>
  <c r="J63" i="36"/>
  <c r="I63" i="36"/>
  <c r="H63" i="36"/>
  <c r="I57" i="36"/>
  <c r="J57" i="36"/>
  <c r="L57" i="36"/>
  <c r="K57" i="36"/>
  <c r="M57" i="36"/>
  <c r="H57" i="36"/>
  <c r="I74" i="37"/>
  <c r="I75" i="37"/>
  <c r="I76" i="37"/>
  <c r="I77" i="37"/>
  <c r="G77" i="37"/>
  <c r="J49" i="36"/>
  <c r="F12" i="36"/>
  <c r="M49" i="36"/>
  <c r="I49" i="36"/>
  <c r="H48" i="36"/>
  <c r="H54" i="36" s="1"/>
  <c r="L49" i="36"/>
  <c r="K46" i="36"/>
  <c r="H47" i="36"/>
  <c r="H60" i="36" s="1"/>
  <c r="K48" i="36"/>
  <c r="K49" i="36"/>
  <c r="M48" i="36"/>
  <c r="M47" i="36"/>
  <c r="M60" i="36" s="1"/>
  <c r="M46" i="36"/>
  <c r="J48" i="36"/>
  <c r="J54" i="36" s="1"/>
  <c r="K47" i="36"/>
  <c r="J47" i="36"/>
  <c r="J60" i="36" s="1"/>
  <c r="H49" i="36"/>
  <c r="J46" i="36"/>
  <c r="I46" i="36"/>
  <c r="I47" i="36"/>
  <c r="I60" i="36" s="1"/>
  <c r="L46" i="36"/>
  <c r="L48" i="36"/>
  <c r="L47" i="36"/>
  <c r="I48" i="36"/>
  <c r="I54" i="36" s="1"/>
  <c r="H46" i="36"/>
  <c r="M54" i="36" l="1"/>
  <c r="C49" i="13"/>
  <c r="F81" i="37"/>
  <c r="E81" i="37"/>
  <c r="E83" i="37" s="1"/>
  <c r="B2" i="36"/>
  <c r="B52" i="36" s="1"/>
  <c r="I64" i="14"/>
  <c r="J63" i="14" s="1"/>
  <c r="K63" i="14" s="1"/>
  <c r="L63" i="14" s="1"/>
  <c r="M63" i="14" s="1"/>
  <c r="N63" i="14" s="1"/>
  <c r="I8" i="25"/>
  <c r="I7" i="25"/>
  <c r="F166" i="25"/>
  <c r="O47" i="13" s="1"/>
  <c r="K19" i="12" s="1"/>
  <c r="D166" i="25"/>
  <c r="M47" i="13" s="1"/>
  <c r="J19" i="12" s="1"/>
  <c r="E168" i="25"/>
  <c r="F167" i="25"/>
  <c r="D167" i="25"/>
  <c r="C144" i="25"/>
  <c r="C126" i="25"/>
  <c r="C142" i="25"/>
  <c r="C141" i="25" s="1"/>
  <c r="C124" i="25"/>
  <c r="C123" i="25" s="1"/>
  <c r="G140" i="25"/>
  <c r="H140" i="25" s="1"/>
  <c r="E140" i="25"/>
  <c r="D140" i="25" s="1"/>
  <c r="G122" i="25"/>
  <c r="H122" i="25" s="1"/>
  <c r="E122" i="25"/>
  <c r="D122" i="25" s="1"/>
  <c r="C135" i="25"/>
  <c r="C117" i="25"/>
  <c r="C133" i="25"/>
  <c r="C132" i="25" s="1"/>
  <c r="C115" i="25"/>
  <c r="C114" i="25" s="1"/>
  <c r="G131" i="25"/>
  <c r="H131" i="25" s="1"/>
  <c r="E131" i="25"/>
  <c r="D131" i="25" s="1"/>
  <c r="G113" i="25"/>
  <c r="H113" i="25" s="1"/>
  <c r="E113" i="25"/>
  <c r="D113" i="25" s="1"/>
  <c r="I62" i="14"/>
  <c r="H62" i="14"/>
  <c r="J71" i="14"/>
  <c r="H18" i="35" s="1"/>
  <c r="J70" i="14"/>
  <c r="H17" i="35" s="1"/>
  <c r="J69" i="14"/>
  <c r="H16" i="35" s="1"/>
  <c r="J68" i="14"/>
  <c r="I54" i="14"/>
  <c r="J54" i="14" s="1"/>
  <c r="K54" i="14" s="1"/>
  <c r="L54" i="14" s="1"/>
  <c r="M54" i="14" s="1"/>
  <c r="N54" i="14" s="1"/>
  <c r="G12" i="35"/>
  <c r="F12" i="35"/>
  <c r="G11" i="35"/>
  <c r="F11" i="35"/>
  <c r="G6" i="35"/>
  <c r="G26" i="23"/>
  <c r="G29" i="23" s="1"/>
  <c r="D50" i="25" s="1"/>
  <c r="I43" i="34"/>
  <c r="J43" i="34" s="1"/>
  <c r="K43" i="34" s="1"/>
  <c r="L43" i="34" s="1"/>
  <c r="I41" i="34"/>
  <c r="J41" i="34" s="1"/>
  <c r="K41" i="34" s="1"/>
  <c r="L41" i="34" s="1"/>
  <c r="I40" i="34"/>
  <c r="J40" i="34" s="1"/>
  <c r="K40" i="34" s="1"/>
  <c r="L40" i="34" s="1"/>
  <c r="G45" i="34"/>
  <c r="F45" i="34"/>
  <c r="G36" i="34"/>
  <c r="F36" i="34"/>
  <c r="G30" i="34"/>
  <c r="F30" i="34"/>
  <c r="F32" i="34" s="1"/>
  <c r="G22" i="34"/>
  <c r="F22" i="34"/>
  <c r="H16" i="34"/>
  <c r="I16" i="34" s="1"/>
  <c r="J16" i="34" s="1"/>
  <c r="G14" i="34"/>
  <c r="F14" i="34"/>
  <c r="H15" i="33"/>
  <c r="H14" i="33" s="1"/>
  <c r="I15" i="33"/>
  <c r="I14" i="33" s="1"/>
  <c r="J15" i="33"/>
  <c r="J14" i="33" s="1"/>
  <c r="G15" i="33"/>
  <c r="G14" i="33" s="1"/>
  <c r="H6" i="34"/>
  <c r="I6" i="34" s="1"/>
  <c r="J6" i="34" s="1"/>
  <c r="K6" i="34" s="1"/>
  <c r="L6" i="34" s="1"/>
  <c r="F6" i="34"/>
  <c r="B2" i="34"/>
  <c r="F38" i="34" l="1"/>
  <c r="B166" i="25"/>
  <c r="C47" i="13"/>
  <c r="B167" i="25"/>
  <c r="G24" i="34"/>
  <c r="F83" i="37"/>
  <c r="C48" i="13"/>
  <c r="N47" i="13"/>
  <c r="C87" i="25"/>
  <c r="F24" i="34"/>
  <c r="E167" i="25"/>
  <c r="J65" i="14"/>
  <c r="J62" i="14" s="1"/>
  <c r="K65" i="14"/>
  <c r="K62" i="14" s="1"/>
  <c r="E166" i="25"/>
  <c r="M65" i="14"/>
  <c r="M62" i="14" s="1"/>
  <c r="L65" i="14"/>
  <c r="L62" i="14" s="1"/>
  <c r="N65" i="14"/>
  <c r="N62" i="14" s="1"/>
  <c r="K69" i="14"/>
  <c r="L69" i="14" s="1"/>
  <c r="M69" i="14" s="1"/>
  <c r="N69" i="14" s="1"/>
  <c r="L16" i="35" s="1"/>
  <c r="K70" i="14"/>
  <c r="L70" i="14" s="1"/>
  <c r="M70" i="14" s="1"/>
  <c r="K68" i="14"/>
  <c r="H15" i="35"/>
  <c r="K71" i="14"/>
  <c r="F47" i="34"/>
  <c r="G32" i="34"/>
  <c r="G38" i="34" s="1"/>
  <c r="G47" i="34" s="1"/>
  <c r="G49" i="34" s="1"/>
  <c r="K16" i="34"/>
  <c r="G27" i="33"/>
  <c r="I54" i="29"/>
  <c r="J54" i="29" s="1"/>
  <c r="K54" i="29" s="1"/>
  <c r="L54" i="29" s="1"/>
  <c r="I47" i="29"/>
  <c r="J47" i="29" s="1"/>
  <c r="K47" i="29" s="1"/>
  <c r="L47" i="29" s="1"/>
  <c r="K16" i="35" l="1"/>
  <c r="F49" i="34"/>
  <c r="J16" i="35"/>
  <c r="L11" i="21"/>
  <c r="L11" i="30"/>
  <c r="K11" i="30"/>
  <c r="K11" i="21"/>
  <c r="J11" i="30"/>
  <c r="J11" i="21"/>
  <c r="I11" i="30"/>
  <c r="I11" i="21"/>
  <c r="H11" i="30"/>
  <c r="H11" i="21"/>
  <c r="I16" i="35"/>
  <c r="J17" i="35"/>
  <c r="I17" i="35"/>
  <c r="N70" i="14"/>
  <c r="L17" i="35" s="1"/>
  <c r="K17" i="35"/>
  <c r="L71" i="14"/>
  <c r="I18" i="35"/>
  <c r="L68" i="14"/>
  <c r="I15" i="35"/>
  <c r="L16" i="34"/>
  <c r="J27" i="33"/>
  <c r="I27" i="33"/>
  <c r="F27" i="33"/>
  <c r="H27" i="33"/>
  <c r="K27" i="33"/>
  <c r="I56" i="29"/>
  <c r="I49" i="29"/>
  <c r="I26" i="29"/>
  <c r="J26" i="29" s="1"/>
  <c r="K26" i="29" s="1"/>
  <c r="L26" i="29" s="1"/>
  <c r="F25" i="20"/>
  <c r="G25" i="33"/>
  <c r="H25" i="33" s="1"/>
  <c r="I25" i="33" s="1"/>
  <c r="J17" i="33"/>
  <c r="J18" i="33" s="1"/>
  <c r="J19" i="33" s="1"/>
  <c r="J20" i="33" s="1"/>
  <c r="I17" i="33"/>
  <c r="I18" i="33" s="1"/>
  <c r="I19" i="33" s="1"/>
  <c r="I20" i="33" s="1"/>
  <c r="H17" i="33"/>
  <c r="H18" i="33" s="1"/>
  <c r="H19" i="33" s="1"/>
  <c r="H20" i="33" s="1"/>
  <c r="G17" i="33"/>
  <c r="B2" i="33"/>
  <c r="G7" i="32"/>
  <c r="B2" i="32"/>
  <c r="I18" i="29"/>
  <c r="J18" i="29"/>
  <c r="K18" i="29"/>
  <c r="L18" i="29"/>
  <c r="H18" i="29"/>
  <c r="H33" i="31"/>
  <c r="H9" i="29" s="1"/>
  <c r="H17" i="29" s="1"/>
  <c r="B2" i="31"/>
  <c r="C17" i="30"/>
  <c r="C14" i="30"/>
  <c r="B2" i="30"/>
  <c r="H21" i="28"/>
  <c r="H13" i="29"/>
  <c r="I13" i="29" s="1"/>
  <c r="J13" i="29" s="1"/>
  <c r="K13" i="29" s="1"/>
  <c r="L13" i="29" s="1"/>
  <c r="B2" i="29"/>
  <c r="G37" i="28"/>
  <c r="F37" i="28"/>
  <c r="G36" i="28"/>
  <c r="F36" i="28"/>
  <c r="G35" i="28"/>
  <c r="F35" i="28"/>
  <c r="G34" i="28"/>
  <c r="F34" i="28"/>
  <c r="G33" i="28"/>
  <c r="F33" i="28"/>
  <c r="E33" i="28"/>
  <c r="G32" i="28"/>
  <c r="F32" i="28"/>
  <c r="E32" i="28"/>
  <c r="G31" i="28"/>
  <c r="F31" i="28"/>
  <c r="L21" i="28"/>
  <c r="K21" i="28"/>
  <c r="J21" i="28"/>
  <c r="I21" i="28"/>
  <c r="H16" i="28"/>
  <c r="H37" i="28" s="1"/>
  <c r="G12" i="28"/>
  <c r="G18" i="28" s="1"/>
  <c r="F12" i="28"/>
  <c r="F18" i="28" s="1"/>
  <c r="E12" i="28"/>
  <c r="E18" i="28" s="1"/>
  <c r="H6" i="28"/>
  <c r="I6" i="28" s="1"/>
  <c r="J6" i="28" s="1"/>
  <c r="K6" i="28" s="1"/>
  <c r="L6" i="28" s="1"/>
  <c r="F6" i="28"/>
  <c r="E6" i="28" s="1"/>
  <c r="B2" i="28"/>
  <c r="D42" i="26"/>
  <c r="C42" i="26" s="1"/>
  <c r="D36" i="26"/>
  <c r="E9" i="26"/>
  <c r="I32" i="26" s="1"/>
  <c r="I26" i="26"/>
  <c r="G26" i="26"/>
  <c r="E26" i="26"/>
  <c r="I25" i="26"/>
  <c r="G25" i="26"/>
  <c r="E25" i="26"/>
  <c r="G23" i="26"/>
  <c r="D47" i="26"/>
  <c r="H53" i="29" s="1"/>
  <c r="H57" i="29" s="1"/>
  <c r="H79" i="29" s="1"/>
  <c r="E22" i="26"/>
  <c r="E19" i="26"/>
  <c r="I28" i="26"/>
  <c r="F47" i="26"/>
  <c r="F46" i="26"/>
  <c r="F45" i="26"/>
  <c r="F44" i="26"/>
  <c r="F43" i="26"/>
  <c r="C83" i="25"/>
  <c r="E24" i="25"/>
  <c r="F24" i="25"/>
  <c r="G24" i="25"/>
  <c r="H24" i="25"/>
  <c r="I24" i="25"/>
  <c r="D24" i="25"/>
  <c r="C5" i="13"/>
  <c r="J7" i="13"/>
  <c r="I11" i="13"/>
  <c r="J11" i="13"/>
  <c r="H11" i="13"/>
  <c r="L16" i="15"/>
  <c r="K16" i="15"/>
  <c r="J16" i="15"/>
  <c r="I16" i="15"/>
  <c r="H14" i="15"/>
  <c r="L18" i="15"/>
  <c r="K18" i="15"/>
  <c r="K14" i="15" s="1"/>
  <c r="J18" i="15"/>
  <c r="J14" i="15" s="1"/>
  <c r="I18" i="15"/>
  <c r="I14" i="15" s="1"/>
  <c r="H16" i="15"/>
  <c r="L14" i="15"/>
  <c r="L12" i="15"/>
  <c r="L8" i="15" s="1"/>
  <c r="K12" i="15"/>
  <c r="J12" i="15"/>
  <c r="J8" i="15" s="1"/>
  <c r="I12" i="15"/>
  <c r="I8" i="15" s="1"/>
  <c r="L10" i="15"/>
  <c r="K10" i="15"/>
  <c r="J10" i="15"/>
  <c r="I10" i="15"/>
  <c r="H10" i="15"/>
  <c r="H12" i="15"/>
  <c r="H8" i="15" s="1"/>
  <c r="N19" i="14"/>
  <c r="K8" i="15"/>
  <c r="L24" i="15"/>
  <c r="K24" i="15"/>
  <c r="J24" i="15"/>
  <c r="I24" i="15"/>
  <c r="H24" i="15"/>
  <c r="L40" i="15"/>
  <c r="K40" i="15"/>
  <c r="K38" i="15" s="1"/>
  <c r="J40" i="15"/>
  <c r="I40" i="15"/>
  <c r="H40" i="15"/>
  <c r="L34" i="15"/>
  <c r="K34" i="15"/>
  <c r="K32" i="15" s="1"/>
  <c r="J34" i="15"/>
  <c r="I34" i="15"/>
  <c r="I32" i="15" s="1"/>
  <c r="H34" i="15"/>
  <c r="L28" i="15"/>
  <c r="K28" i="15"/>
  <c r="J28" i="15"/>
  <c r="I28" i="15"/>
  <c r="H28" i="15"/>
  <c r="L22" i="15"/>
  <c r="K22" i="15"/>
  <c r="J22" i="15"/>
  <c r="I22" i="15"/>
  <c r="H22" i="15"/>
  <c r="L36" i="15"/>
  <c r="L32" i="15" s="1"/>
  <c r="K36" i="15"/>
  <c r="J36" i="15"/>
  <c r="I36" i="15"/>
  <c r="H36" i="15"/>
  <c r="H32" i="15" s="1"/>
  <c r="H29" i="14" s="1"/>
  <c r="L42" i="15"/>
  <c r="L38" i="15" s="1"/>
  <c r="K42" i="15"/>
  <c r="J42" i="15"/>
  <c r="I42" i="15"/>
  <c r="H42" i="15"/>
  <c r="J38" i="15"/>
  <c r="I38" i="15"/>
  <c r="H38" i="15"/>
  <c r="H32" i="14" s="1"/>
  <c r="H15" i="28" s="1"/>
  <c r="I15" i="28" s="1"/>
  <c r="I26" i="15"/>
  <c r="L30" i="15"/>
  <c r="K30" i="15"/>
  <c r="J30" i="15"/>
  <c r="I30" i="15"/>
  <c r="H30" i="15"/>
  <c r="H26" i="15" s="1"/>
  <c r="H28" i="14" s="1"/>
  <c r="L20" i="15"/>
  <c r="K20" i="15"/>
  <c r="J20" i="15"/>
  <c r="I20" i="15"/>
  <c r="J32" i="15" l="1"/>
  <c r="J25" i="33"/>
  <c r="K25" i="33" s="1"/>
  <c r="C50" i="13"/>
  <c r="N20" i="14"/>
  <c r="H7" i="32"/>
  <c r="I7" i="32" s="1"/>
  <c r="J7" i="32" s="1"/>
  <c r="K7" i="32" s="1"/>
  <c r="B20" i="33" s="1"/>
  <c r="F7" i="32"/>
  <c r="M68" i="14"/>
  <c r="J15" i="35"/>
  <c r="M71" i="14"/>
  <c r="J18" i="35"/>
  <c r="H14" i="27"/>
  <c r="H34" i="34"/>
  <c r="I34" i="34" s="1"/>
  <c r="J34" i="34" s="1"/>
  <c r="K34" i="34" s="1"/>
  <c r="L34" i="34" s="1"/>
  <c r="H34" i="17"/>
  <c r="I34" i="17" s="1"/>
  <c r="J34" i="17" s="1"/>
  <c r="K34" i="17" s="1"/>
  <c r="L34" i="17" s="1"/>
  <c r="F39" i="28"/>
  <c r="J56" i="29"/>
  <c r="F12" i="33"/>
  <c r="J49" i="29"/>
  <c r="H55" i="29"/>
  <c r="B16" i="33"/>
  <c r="G18" i="33"/>
  <c r="H19" i="29"/>
  <c r="G22" i="28"/>
  <c r="G25" i="28" s="1"/>
  <c r="G41" i="28"/>
  <c r="G28" i="28"/>
  <c r="G40" i="28" s="1"/>
  <c r="F28" i="28"/>
  <c r="F40" i="28" s="1"/>
  <c r="F41" i="28"/>
  <c r="F22" i="28"/>
  <c r="F25" i="28" s="1"/>
  <c r="E28" i="28"/>
  <c r="E40" i="28" s="1"/>
  <c r="E22" i="28"/>
  <c r="E25" i="28" s="1"/>
  <c r="E41" i="28"/>
  <c r="J15" i="28"/>
  <c r="I36" i="28"/>
  <c r="G39" i="28"/>
  <c r="H36" i="28"/>
  <c r="I16" i="28"/>
  <c r="E39" i="28"/>
  <c r="D43" i="26"/>
  <c r="D46" i="26"/>
  <c r="F11" i="33" s="1"/>
  <c r="D44" i="26"/>
  <c r="F9" i="33" s="1"/>
  <c r="D45" i="26"/>
  <c r="F10" i="33" s="1"/>
  <c r="G28" i="26"/>
  <c r="I23" i="26"/>
  <c r="I22" i="26" s="1"/>
  <c r="E23" i="26"/>
  <c r="E28" i="26" s="1"/>
  <c r="J12" i="13"/>
  <c r="I12" i="13"/>
  <c r="J26" i="15"/>
  <c r="L26" i="15"/>
  <c r="K26" i="15"/>
  <c r="H20" i="15"/>
  <c r="N21" i="14" s="1"/>
  <c r="F8" i="33" l="1"/>
  <c r="H51" i="26"/>
  <c r="G31" i="26"/>
  <c r="G32" i="26" s="1"/>
  <c r="D26" i="33"/>
  <c r="H10" i="28"/>
  <c r="H9" i="28"/>
  <c r="I14" i="27"/>
  <c r="I10" i="28" s="1"/>
  <c r="B19" i="33"/>
  <c r="B17" i="33"/>
  <c r="B18" i="33"/>
  <c r="B15" i="33"/>
  <c r="E7" i="32"/>
  <c r="B14" i="33" s="1"/>
  <c r="N71" i="14"/>
  <c r="L18" i="35" s="1"/>
  <c r="K18" i="35"/>
  <c r="N68" i="14"/>
  <c r="L15" i="35" s="1"/>
  <c r="K15" i="35"/>
  <c r="K56" i="29"/>
  <c r="K49" i="29"/>
  <c r="G19" i="33"/>
  <c r="H46" i="29"/>
  <c r="H50" i="29" s="1"/>
  <c r="H78" i="29" s="1"/>
  <c r="H38" i="29"/>
  <c r="H39" i="29" s="1"/>
  <c r="H30" i="29"/>
  <c r="H31" i="29" s="1"/>
  <c r="H23" i="29"/>
  <c r="J23" i="29"/>
  <c r="K23" i="29"/>
  <c r="L23" i="29"/>
  <c r="I23" i="29"/>
  <c r="I53" i="29"/>
  <c r="I57" i="29" s="1"/>
  <c r="I79" i="29" s="1"/>
  <c r="G12" i="33"/>
  <c r="I37" i="28"/>
  <c r="J16" i="28"/>
  <c r="J36" i="28"/>
  <c r="K15" i="28"/>
  <c r="E31" i="26"/>
  <c r="D35" i="26"/>
  <c r="H18" i="34" s="1"/>
  <c r="H10" i="16"/>
  <c r="H9" i="16"/>
  <c r="E10" i="27"/>
  <c r="F15" i="27"/>
  <c r="G15" i="27"/>
  <c r="H15" i="27" s="1"/>
  <c r="I15" i="27" s="1"/>
  <c r="J15" i="27" s="1"/>
  <c r="K15" i="27" s="1"/>
  <c r="L15" i="27" s="1"/>
  <c r="E15" i="27"/>
  <c r="G34" i="16"/>
  <c r="F34" i="16"/>
  <c r="F9" i="27"/>
  <c r="G9" i="27"/>
  <c r="E9" i="27"/>
  <c r="H6" i="27"/>
  <c r="I6" i="27" s="1"/>
  <c r="J6" i="27" s="1"/>
  <c r="K6" i="27" s="1"/>
  <c r="L6" i="27" s="1"/>
  <c r="F6" i="27"/>
  <c r="E6" i="27" s="1"/>
  <c r="B2" i="27"/>
  <c r="D14" i="25"/>
  <c r="E14" i="25" s="1"/>
  <c r="F14" i="25" s="1"/>
  <c r="G14" i="25" s="1"/>
  <c r="H14" i="25" s="1"/>
  <c r="I14" i="25" s="1"/>
  <c r="D57" i="25"/>
  <c r="C10" i="25"/>
  <c r="C58" i="25" s="1"/>
  <c r="E45" i="25"/>
  <c r="E46" i="25" s="1"/>
  <c r="D16" i="25"/>
  <c r="C75" i="25"/>
  <c r="B55" i="25"/>
  <c r="E42" i="25"/>
  <c r="B2" i="26"/>
  <c r="B2" i="25"/>
  <c r="H43" i="17"/>
  <c r="I43" i="17" s="1"/>
  <c r="J43" i="17" s="1"/>
  <c r="K43" i="17" s="1"/>
  <c r="L43" i="17" s="1"/>
  <c r="I9" i="23"/>
  <c r="I24" i="18" s="1"/>
  <c r="J9" i="23"/>
  <c r="J24" i="18" s="1"/>
  <c r="K9" i="23"/>
  <c r="K24" i="18" s="1"/>
  <c r="L9" i="23"/>
  <c r="L24" i="18" s="1"/>
  <c r="H9" i="23"/>
  <c r="H24" i="18" s="1"/>
  <c r="G44" i="17"/>
  <c r="H8" i="23"/>
  <c r="G19" i="23"/>
  <c r="H16" i="23" s="1"/>
  <c r="B2" i="23"/>
  <c r="L33" i="19"/>
  <c r="K33" i="19"/>
  <c r="J33" i="19"/>
  <c r="I33" i="19"/>
  <c r="H33" i="19"/>
  <c r="H19" i="19" s="1"/>
  <c r="H25" i="18" s="1"/>
  <c r="G34" i="19"/>
  <c r="H32" i="19" s="1"/>
  <c r="D49" i="25" s="1"/>
  <c r="C77" i="25" s="1"/>
  <c r="F30" i="17"/>
  <c r="G6" i="17"/>
  <c r="G30" i="17"/>
  <c r="H36" i="19"/>
  <c r="H13" i="19"/>
  <c r="H17" i="17"/>
  <c r="I17" i="17" s="1"/>
  <c r="J17" i="17" s="1"/>
  <c r="K17" i="17" s="1"/>
  <c r="L17" i="17" s="1"/>
  <c r="H19" i="17"/>
  <c r="I19" i="17" s="1"/>
  <c r="J19" i="17" s="1"/>
  <c r="K19" i="17" s="1"/>
  <c r="L19" i="17" s="1"/>
  <c r="B63" i="25" l="1"/>
  <c r="E64" i="25"/>
  <c r="I10" i="16"/>
  <c r="E11" i="27"/>
  <c r="H16" i="27"/>
  <c r="H9" i="27" s="1"/>
  <c r="D31" i="33"/>
  <c r="D32" i="33" s="1"/>
  <c r="D28" i="33"/>
  <c r="J14" i="27"/>
  <c r="J16" i="27" s="1"/>
  <c r="J9" i="27" s="1"/>
  <c r="I9" i="28"/>
  <c r="E57" i="25"/>
  <c r="I57" i="25"/>
  <c r="F57" i="25"/>
  <c r="G57" i="25"/>
  <c r="B64" i="25"/>
  <c r="H57" i="25"/>
  <c r="L56" i="29"/>
  <c r="E32" i="26"/>
  <c r="L49" i="29"/>
  <c r="H64" i="29"/>
  <c r="G20" i="33"/>
  <c r="I55" i="29"/>
  <c r="H48" i="29"/>
  <c r="I46" i="29" s="1"/>
  <c r="I50" i="29" s="1"/>
  <c r="I78" i="29" s="1"/>
  <c r="K36" i="28"/>
  <c r="L15" i="28"/>
  <c r="L36" i="28" s="1"/>
  <c r="K16" i="28"/>
  <c r="J37" i="28"/>
  <c r="I9" i="16"/>
  <c r="I16" i="27"/>
  <c r="I9" i="27" s="1"/>
  <c r="H32" i="23"/>
  <c r="L32" i="23"/>
  <c r="K32" i="23"/>
  <c r="J32" i="23"/>
  <c r="I32" i="23"/>
  <c r="D51" i="25"/>
  <c r="H10" i="23"/>
  <c r="H26" i="23" s="1"/>
  <c r="H40" i="17"/>
  <c r="I40" i="17" s="1"/>
  <c r="J40" i="17" s="1"/>
  <c r="K40" i="17" s="1"/>
  <c r="L40" i="17" s="1"/>
  <c r="E49" i="25" l="1"/>
  <c r="E50" i="25"/>
  <c r="D29" i="33"/>
  <c r="K14" i="27"/>
  <c r="L14" i="27" s="1"/>
  <c r="J9" i="28"/>
  <c r="J10" i="28"/>
  <c r="G11" i="33"/>
  <c r="I48" i="29"/>
  <c r="J53" i="29"/>
  <c r="J57" i="29" s="1"/>
  <c r="J79" i="29" s="1"/>
  <c r="H12" i="33"/>
  <c r="L16" i="28"/>
  <c r="L37" i="28" s="1"/>
  <c r="K37" i="28"/>
  <c r="J9" i="16"/>
  <c r="J10" i="16"/>
  <c r="H29" i="23"/>
  <c r="I8" i="23"/>
  <c r="I10" i="23" s="1"/>
  <c r="I26" i="23" s="1"/>
  <c r="H13" i="23"/>
  <c r="E53" i="25" l="1"/>
  <c r="I6" i="25" s="1"/>
  <c r="K9" i="28"/>
  <c r="K10" i="28"/>
  <c r="J46" i="29"/>
  <c r="J50" i="29" s="1"/>
  <c r="J78" i="29" s="1"/>
  <c r="H11" i="33"/>
  <c r="C94" i="25"/>
  <c r="N39" i="13" s="1"/>
  <c r="D94" i="25"/>
  <c r="O39" i="13" s="1"/>
  <c r="L10" i="28"/>
  <c r="L9" i="28"/>
  <c r="K9" i="16"/>
  <c r="K10" i="16"/>
  <c r="K16" i="27"/>
  <c r="K9" i="27" s="1"/>
  <c r="I29" i="23"/>
  <c r="E51" i="25"/>
  <c r="H26" i="18"/>
  <c r="H18" i="23"/>
  <c r="J8" i="23"/>
  <c r="J10" i="23" s="1"/>
  <c r="J26" i="23" s="1"/>
  <c r="I13" i="23"/>
  <c r="G9" i="17"/>
  <c r="F9" i="17"/>
  <c r="C17" i="21"/>
  <c r="C14" i="21"/>
  <c r="B2" i="21"/>
  <c r="F29" i="20"/>
  <c r="E29" i="20"/>
  <c r="F27" i="20"/>
  <c r="G27" i="20" s="1"/>
  <c r="H27" i="20" s="1"/>
  <c r="I27" i="20" s="1"/>
  <c r="J27" i="20" s="1"/>
  <c r="K27" i="20" s="1"/>
  <c r="E27" i="20"/>
  <c r="G21" i="20"/>
  <c r="E25" i="20"/>
  <c r="F21" i="20" s="1"/>
  <c r="B15" i="20"/>
  <c r="F8" i="20"/>
  <c r="F11" i="20" s="1"/>
  <c r="G8" i="20" s="1"/>
  <c r="G11" i="20" s="1"/>
  <c r="H19" i="34" s="1"/>
  <c r="F6" i="20"/>
  <c r="F19" i="20" s="1"/>
  <c r="G6" i="19" s="1"/>
  <c r="B2" i="20"/>
  <c r="I36" i="19"/>
  <c r="J36" i="19" s="1"/>
  <c r="K36" i="19" s="1"/>
  <c r="I28" i="19"/>
  <c r="J28" i="19" s="1"/>
  <c r="K28" i="19" s="1"/>
  <c r="H24" i="19"/>
  <c r="L21" i="19"/>
  <c r="K21" i="19"/>
  <c r="J21" i="19"/>
  <c r="I21" i="19"/>
  <c r="L20" i="19"/>
  <c r="K20" i="19"/>
  <c r="J20" i="19"/>
  <c r="I20" i="19"/>
  <c r="H20" i="19"/>
  <c r="L19" i="19"/>
  <c r="L25" i="18" s="1"/>
  <c r="K19" i="19"/>
  <c r="K25" i="18" s="1"/>
  <c r="J19" i="19"/>
  <c r="J25" i="18" s="1"/>
  <c r="I19" i="19"/>
  <c r="I25" i="18" s="1"/>
  <c r="I13" i="19"/>
  <c r="B2" i="19"/>
  <c r="B2" i="18"/>
  <c r="F44" i="17"/>
  <c r="G36" i="17"/>
  <c r="F36" i="17"/>
  <c r="G32" i="17"/>
  <c r="F32" i="17"/>
  <c r="G22" i="17"/>
  <c r="F22" i="17"/>
  <c r="B2" i="17"/>
  <c r="J48" i="29" l="1"/>
  <c r="K46" i="29" s="1"/>
  <c r="K50" i="29" s="1"/>
  <c r="K78" i="29" s="1"/>
  <c r="G15" i="17"/>
  <c r="G24" i="17" s="1"/>
  <c r="G11" i="19"/>
  <c r="H9" i="19" s="1"/>
  <c r="H14" i="19" s="1"/>
  <c r="F14" i="36"/>
  <c r="C82" i="25"/>
  <c r="C85" i="25" s="1"/>
  <c r="H32" i="18"/>
  <c r="J55" i="29"/>
  <c r="K53" i="29" s="1"/>
  <c r="K57" i="29" s="1"/>
  <c r="K79" i="29" s="1"/>
  <c r="I12" i="33"/>
  <c r="I11" i="33"/>
  <c r="L10" i="16"/>
  <c r="L9" i="16"/>
  <c r="L16" i="27"/>
  <c r="L9" i="27" s="1"/>
  <c r="J29" i="23"/>
  <c r="I26" i="18"/>
  <c r="I18" i="23"/>
  <c r="K8" i="23"/>
  <c r="K10" i="23" s="1"/>
  <c r="K26" i="23" s="1"/>
  <c r="J13" i="23"/>
  <c r="H8" i="20"/>
  <c r="H11" i="20" s="1"/>
  <c r="I19" i="34" s="1"/>
  <c r="H20" i="17"/>
  <c r="F15" i="17"/>
  <c r="F24" i="17" s="1"/>
  <c r="H29" i="19"/>
  <c r="H34" i="19"/>
  <c r="H37" i="19"/>
  <c r="L28" i="19"/>
  <c r="L36" i="19"/>
  <c r="J13" i="19"/>
  <c r="F38" i="17"/>
  <c r="F46" i="17" s="1"/>
  <c r="G38" i="17"/>
  <c r="G46" i="17" s="1"/>
  <c r="C92" i="25" l="1"/>
  <c r="N37" i="13" s="1"/>
  <c r="L55" i="36"/>
  <c r="M55" i="36"/>
  <c r="M56" i="36" s="1"/>
  <c r="M58" i="36" s="1"/>
  <c r="M49" i="13" s="1"/>
  <c r="J21" i="12" s="1"/>
  <c r="J61" i="36"/>
  <c r="J62" i="36" s="1"/>
  <c r="J64" i="36" s="1"/>
  <c r="H55" i="36"/>
  <c r="H56" i="36" s="1"/>
  <c r="H58" i="36" s="1"/>
  <c r="I61" i="36"/>
  <c r="I62" i="36" s="1"/>
  <c r="I64" i="36" s="1"/>
  <c r="I55" i="36"/>
  <c r="I56" i="36" s="1"/>
  <c r="I58" i="36" s="1"/>
  <c r="J55" i="36"/>
  <c r="J56" i="36" s="1"/>
  <c r="J58" i="36" s="1"/>
  <c r="K55" i="36"/>
  <c r="E84" i="37"/>
  <c r="E85" i="37" s="1"/>
  <c r="E87" i="37" s="1"/>
  <c r="O48" i="13" s="1"/>
  <c r="K20" i="12" s="1"/>
  <c r="M61" i="36"/>
  <c r="M62" i="36" s="1"/>
  <c r="M64" i="36" s="1"/>
  <c r="O49" i="13" s="1"/>
  <c r="K21" i="12" s="1"/>
  <c r="F84" i="37"/>
  <c r="F85" i="37" s="1"/>
  <c r="F87" i="37" s="1"/>
  <c r="M48" i="13" s="1"/>
  <c r="J20" i="12" s="1"/>
  <c r="L61" i="36"/>
  <c r="K61" i="36"/>
  <c r="H61" i="36"/>
  <c r="H62" i="36" s="1"/>
  <c r="H64" i="36" s="1"/>
  <c r="D92" i="25"/>
  <c r="O37" i="13" s="1"/>
  <c r="H39" i="19"/>
  <c r="H20" i="16" s="1"/>
  <c r="G48" i="17"/>
  <c r="K48" i="29"/>
  <c r="L46" i="29" s="1"/>
  <c r="L50" i="29" s="1"/>
  <c r="L78" i="29" s="1"/>
  <c r="I32" i="19"/>
  <c r="I34" i="19" s="1"/>
  <c r="H35" i="17"/>
  <c r="K29" i="23"/>
  <c r="J18" i="23"/>
  <c r="J26" i="18"/>
  <c r="L8" i="23"/>
  <c r="L10" i="23" s="1"/>
  <c r="K13" i="23"/>
  <c r="I8" i="20"/>
  <c r="I11" i="20" s="1"/>
  <c r="J19" i="34" s="1"/>
  <c r="I20" i="17"/>
  <c r="G6" i="23"/>
  <c r="J8" i="36" s="1"/>
  <c r="I8" i="36" s="1"/>
  <c r="F48" i="17"/>
  <c r="K13" i="19"/>
  <c r="N49" i="13" l="1"/>
  <c r="N48" i="13"/>
  <c r="H14" i="36"/>
  <c r="I19" i="36"/>
  <c r="H19" i="36" s="1"/>
  <c r="I37" i="19"/>
  <c r="K55" i="29"/>
  <c r="L53" i="29" s="1"/>
  <c r="L57" i="29" s="1"/>
  <c r="L79" i="29" s="1"/>
  <c r="L48" i="29"/>
  <c r="G15" i="32" s="1"/>
  <c r="J11" i="33"/>
  <c r="D13" i="25"/>
  <c r="G22" i="23"/>
  <c r="L13" i="23"/>
  <c r="L26" i="18" s="1"/>
  <c r="L26" i="23"/>
  <c r="L29" i="23" s="1"/>
  <c r="H36" i="17"/>
  <c r="J32" i="19"/>
  <c r="J34" i="19" s="1"/>
  <c r="I35" i="17"/>
  <c r="K18" i="23"/>
  <c r="K26" i="18"/>
  <c r="J8" i="20"/>
  <c r="J11" i="20" s="1"/>
  <c r="K19" i="34" s="1"/>
  <c r="J20" i="17"/>
  <c r="L13" i="19"/>
  <c r="L19" i="36" l="1"/>
  <c r="K19" i="36" s="1"/>
  <c r="L18" i="23"/>
  <c r="E15" i="32"/>
  <c r="F15" i="32"/>
  <c r="K11" i="33"/>
  <c r="D11" i="33" s="1"/>
  <c r="J12" i="33"/>
  <c r="E11" i="33"/>
  <c r="L55" i="29"/>
  <c r="K15" i="32"/>
  <c r="H15" i="32"/>
  <c r="I15" i="32"/>
  <c r="J15" i="32"/>
  <c r="K32" i="19"/>
  <c r="K34" i="19" s="1"/>
  <c r="J35" i="17"/>
  <c r="I36" i="17"/>
  <c r="J37" i="19"/>
  <c r="K8" i="20"/>
  <c r="K11" i="20" s="1"/>
  <c r="K20" i="17"/>
  <c r="L20" i="17" l="1"/>
  <c r="L19" i="34"/>
  <c r="F16" i="32"/>
  <c r="E16" i="32"/>
  <c r="K12" i="33"/>
  <c r="G16" i="32"/>
  <c r="K16" i="32"/>
  <c r="H16" i="32"/>
  <c r="I16" i="32"/>
  <c r="J16" i="32"/>
  <c r="L32" i="19"/>
  <c r="L34" i="19" s="1"/>
  <c r="L35" i="17" s="1"/>
  <c r="L36" i="17" s="1"/>
  <c r="K35" i="17"/>
  <c r="K37" i="19"/>
  <c r="J36" i="17"/>
  <c r="D12" i="33" l="1"/>
  <c r="E12" i="33"/>
  <c r="L37" i="19"/>
  <c r="K36" i="17"/>
  <c r="I21" i="16"/>
  <c r="J21" i="16"/>
  <c r="K21" i="16"/>
  <c r="L21" i="16"/>
  <c r="H21" i="16"/>
  <c r="H15" i="16"/>
  <c r="I15" i="16" s="1"/>
  <c r="J15" i="16" s="1"/>
  <c r="H16" i="16"/>
  <c r="H40" i="16" s="1"/>
  <c r="G37" i="16"/>
  <c r="G38" i="16"/>
  <c r="G39" i="16"/>
  <c r="G40" i="16"/>
  <c r="F40" i="16"/>
  <c r="F39" i="16"/>
  <c r="F38" i="16"/>
  <c r="F37" i="16"/>
  <c r="F35" i="16"/>
  <c r="G35" i="16"/>
  <c r="F36" i="16"/>
  <c r="G36" i="16"/>
  <c r="E36" i="16"/>
  <c r="E35" i="16"/>
  <c r="I16" i="16" l="1"/>
  <c r="J16" i="16" s="1"/>
  <c r="K16" i="16" s="1"/>
  <c r="I39" i="16"/>
  <c r="J39" i="16"/>
  <c r="K15" i="16"/>
  <c r="H39" i="16"/>
  <c r="J40" i="16" l="1"/>
  <c r="I40" i="16"/>
  <c r="L16" i="16"/>
  <c r="L40" i="16" s="1"/>
  <c r="K40" i="16"/>
  <c r="L15" i="16"/>
  <c r="L39" i="16" s="1"/>
  <c r="K39" i="16"/>
  <c r="B2" i="16" l="1"/>
  <c r="F12" i="16"/>
  <c r="F18" i="16" s="1"/>
  <c r="G12" i="16"/>
  <c r="G18" i="16" s="1"/>
  <c r="E12" i="16"/>
  <c r="E18" i="16" s="1"/>
  <c r="H6" i="16"/>
  <c r="F6" i="16"/>
  <c r="B2" i="15"/>
  <c r="B2" i="14"/>
  <c r="B2" i="13"/>
  <c r="B11" i="12"/>
  <c r="I7" i="13" l="1"/>
  <c r="F6" i="35"/>
  <c r="H6" i="31"/>
  <c r="H6" i="35"/>
  <c r="D20" i="25"/>
  <c r="D25" i="25" s="1"/>
  <c r="G28" i="16"/>
  <c r="J11" i="36" s="1"/>
  <c r="G6" i="20"/>
  <c r="K7" i="13"/>
  <c r="E22" i="16"/>
  <c r="E25" i="16" s="1"/>
  <c r="H20" i="13" s="1"/>
  <c r="H21" i="13" s="1"/>
  <c r="E28" i="16"/>
  <c r="F22" i="16"/>
  <c r="F25" i="16" s="1"/>
  <c r="I20" i="13" s="1"/>
  <c r="F28" i="16"/>
  <c r="I11" i="36" s="1"/>
  <c r="E6" i="20"/>
  <c r="E19" i="20" s="1"/>
  <c r="E6" i="16"/>
  <c r="E6" i="35" s="1"/>
  <c r="F6" i="17"/>
  <c r="H6" i="18"/>
  <c r="H6" i="17"/>
  <c r="I6" i="16"/>
  <c r="E42" i="16"/>
  <c r="G42" i="16"/>
  <c r="F42" i="16"/>
  <c r="G22" i="16"/>
  <c r="G25" i="16" s="1"/>
  <c r="E44" i="16"/>
  <c r="G44" i="16"/>
  <c r="F44" i="16"/>
  <c r="F8" i="35" l="1"/>
  <c r="F15" i="35" s="1"/>
  <c r="K54" i="36"/>
  <c r="K60" i="36"/>
  <c r="K62" i="36" s="1"/>
  <c r="K64" i="36" s="1"/>
  <c r="L54" i="36"/>
  <c r="L60" i="36"/>
  <c r="K56" i="36"/>
  <c r="K58" i="36" s="1"/>
  <c r="L56" i="36"/>
  <c r="L58" i="36" s="1"/>
  <c r="L62" i="36"/>
  <c r="L64" i="36" s="1"/>
  <c r="H7" i="13"/>
  <c r="I6" i="31"/>
  <c r="I6" i="35"/>
  <c r="D21" i="25"/>
  <c r="D23" i="25"/>
  <c r="G25" i="23"/>
  <c r="G30" i="23" s="1"/>
  <c r="J20" i="13"/>
  <c r="H6" i="20"/>
  <c r="L7" i="13"/>
  <c r="I22" i="13"/>
  <c r="I21" i="13"/>
  <c r="H15" i="13"/>
  <c r="H16" i="13" s="1"/>
  <c r="E43" i="16"/>
  <c r="J15" i="13"/>
  <c r="D18" i="25"/>
  <c r="D19" i="25" s="1"/>
  <c r="G43" i="16"/>
  <c r="I15" i="13"/>
  <c r="F43" i="16"/>
  <c r="G19" i="20"/>
  <c r="H6" i="30" s="1"/>
  <c r="I6" i="18"/>
  <c r="I6" i="17"/>
  <c r="J6" i="16"/>
  <c r="G27" i="23" l="1"/>
  <c r="J6" i="31"/>
  <c r="J6" i="35"/>
  <c r="I16" i="13"/>
  <c r="I17" i="13"/>
  <c r="J16" i="13"/>
  <c r="J17" i="13"/>
  <c r="J22" i="13"/>
  <c r="J21" i="13"/>
  <c r="I6" i="20"/>
  <c r="M7" i="13"/>
  <c r="H6" i="21"/>
  <c r="H19" i="20"/>
  <c r="I6" i="30" s="1"/>
  <c r="J6" i="18"/>
  <c r="J6" i="17"/>
  <c r="K6" i="16"/>
  <c r="K6" i="31" l="1"/>
  <c r="K6" i="35"/>
  <c r="J6" i="20"/>
  <c r="N7" i="13"/>
  <c r="H6" i="19"/>
  <c r="H6" i="23"/>
  <c r="L8" i="36" s="1"/>
  <c r="I6" i="21"/>
  <c r="I19" i="20"/>
  <c r="J6" i="30" s="1"/>
  <c r="K6" i="18"/>
  <c r="K6" i="17"/>
  <c r="L6" i="16"/>
  <c r="L6" i="31" l="1"/>
  <c r="L6" i="35"/>
  <c r="K6" i="20"/>
  <c r="O7" i="13"/>
  <c r="H6" i="15"/>
  <c r="H22" i="23"/>
  <c r="E13" i="25"/>
  <c r="H6" i="29" s="1"/>
  <c r="H70" i="29" s="1"/>
  <c r="I6" i="19"/>
  <c r="I6" i="23"/>
  <c r="M8" i="36" s="1"/>
  <c r="J6" i="21"/>
  <c r="J19" i="20"/>
  <c r="K6" i="30" s="1"/>
  <c r="L6" i="17"/>
  <c r="L6" i="18"/>
  <c r="G6" i="33" l="1"/>
  <c r="H87" i="29"/>
  <c r="I6" i="15"/>
  <c r="F13" i="25"/>
  <c r="I6" i="29" s="1"/>
  <c r="I70" i="29" s="1"/>
  <c r="I22" i="23"/>
  <c r="J6" i="19"/>
  <c r="J6" i="23"/>
  <c r="K6" i="21"/>
  <c r="K19" i="20"/>
  <c r="L6" i="30" s="1"/>
  <c r="H6" i="33" l="1"/>
  <c r="I87" i="29"/>
  <c r="J6" i="15"/>
  <c r="G13" i="25"/>
  <c r="J6" i="29" s="1"/>
  <c r="J70" i="29" s="1"/>
  <c r="J22" i="23"/>
  <c r="K6" i="19"/>
  <c r="K6" i="23"/>
  <c r="L6" i="21"/>
  <c r="I6" i="33" l="1"/>
  <c r="J87" i="29"/>
  <c r="K6" i="15"/>
  <c r="H13" i="25"/>
  <c r="K6" i="29" s="1"/>
  <c r="K70" i="29" s="1"/>
  <c r="K22" i="23"/>
  <c r="L6" i="19"/>
  <c r="L6" i="23"/>
  <c r="J6" i="33" l="1"/>
  <c r="K87" i="29"/>
  <c r="L6" i="15"/>
  <c r="I13" i="25"/>
  <c r="L22" i="23"/>
  <c r="L6" i="29" l="1"/>
  <c r="L70" i="29" s="1"/>
  <c r="K6" i="33" l="1"/>
  <c r="L87" i="29"/>
  <c r="H46" i="26" l="1"/>
  <c r="J46" i="26"/>
  <c r="J47" i="26"/>
  <c r="H47" i="26"/>
  <c r="H45" i="26" l="1"/>
  <c r="J45" i="26"/>
  <c r="H44" i="26"/>
  <c r="J44" i="26"/>
  <c r="J43" i="26"/>
  <c r="H43" i="26"/>
  <c r="H48" i="26" l="1"/>
  <c r="H60" i="29" s="1"/>
  <c r="J48" i="26"/>
  <c r="L61" i="29" l="1"/>
  <c r="K61" i="29"/>
  <c r="J61" i="29"/>
  <c r="I61" i="29"/>
  <c r="H61" i="29"/>
  <c r="D37" i="26"/>
  <c r="D38" i="26" l="1"/>
  <c r="D48" i="26" s="1"/>
  <c r="K44" i="34" s="1"/>
  <c r="H39" i="13"/>
  <c r="J44" i="34"/>
  <c r="F15" i="33"/>
  <c r="F16" i="33"/>
  <c r="F20" i="33"/>
  <c r="F19" i="33"/>
  <c r="F18" i="33"/>
  <c r="F17" i="33"/>
  <c r="H62" i="29"/>
  <c r="H35" i="13" l="1"/>
  <c r="F14" i="33"/>
  <c r="L44" i="34"/>
  <c r="H44" i="34"/>
  <c r="I44" i="34"/>
  <c r="I60" i="29"/>
  <c r="I62" i="29" s="1"/>
  <c r="H20" i="34"/>
  <c r="C48" i="26"/>
  <c r="C49" i="26" s="1"/>
  <c r="D49" i="26"/>
  <c r="H24" i="31"/>
  <c r="J60" i="29" l="1"/>
  <c r="J62" i="29" s="1"/>
  <c r="I20" i="34"/>
  <c r="H8" i="35"/>
  <c r="I8" i="35"/>
  <c r="J8" i="35"/>
  <c r="K8" i="35"/>
  <c r="L8" i="35"/>
  <c r="K60" i="29" l="1"/>
  <c r="K62" i="29" s="1"/>
  <c r="J20" i="34"/>
  <c r="G8" i="35"/>
  <c r="G15" i="35" s="1"/>
  <c r="L60" i="29" l="1"/>
  <c r="L62" i="29" s="1"/>
  <c r="L20" i="34" s="1"/>
  <c r="K20" i="34"/>
  <c r="G18" i="35"/>
  <c r="G16" i="35"/>
  <c r="F18" i="35"/>
  <c r="F16" i="35"/>
  <c r="G17" i="35"/>
  <c r="F17" i="35"/>
  <c r="F15" i="36" l="1"/>
  <c r="G54" i="36" s="1"/>
  <c r="G60" i="36" s="1"/>
  <c r="I12" i="36" l="1"/>
  <c r="K13" i="36"/>
  <c r="J13" i="36"/>
  <c r="K12" i="36"/>
  <c r="I13" i="36"/>
  <c r="J12" i="36"/>
  <c r="G27" i="35" l="1"/>
  <c r="F10" i="27"/>
  <c r="F11" i="27" s="1"/>
  <c r="G10" i="27"/>
  <c r="G11" i="27" s="1"/>
  <c r="F24" i="27"/>
  <c r="G24" i="27"/>
  <c r="H24" i="27" s="1"/>
  <c r="I24" i="27" l="1"/>
  <c r="H19" i="27"/>
  <c r="H10" i="27" s="1"/>
  <c r="H11" i="27" s="1"/>
  <c r="J59" i="14" l="1"/>
  <c r="G22" i="20" s="1"/>
  <c r="H8" i="16"/>
  <c r="H30" i="16" s="1"/>
  <c r="H8" i="28"/>
  <c r="I19" i="27"/>
  <c r="I10" i="27" s="1"/>
  <c r="I11" i="27" s="1"/>
  <c r="J24" i="27"/>
  <c r="H10" i="18" l="1"/>
  <c r="H33" i="23"/>
  <c r="H41" i="17"/>
  <c r="H14" i="28"/>
  <c r="H35" i="28" s="1"/>
  <c r="H11" i="28"/>
  <c r="H34" i="28" s="1"/>
  <c r="H14" i="16"/>
  <c r="H38" i="16" s="1"/>
  <c r="H11" i="16"/>
  <c r="H12" i="16" s="1"/>
  <c r="H11" i="17"/>
  <c r="H32" i="35"/>
  <c r="H12" i="17"/>
  <c r="H11" i="35"/>
  <c r="H21" i="35" s="1"/>
  <c r="K11" i="13"/>
  <c r="K12" i="13" s="1"/>
  <c r="H21" i="17"/>
  <c r="H35" i="16"/>
  <c r="L10" i="36"/>
  <c r="L12" i="36" s="1"/>
  <c r="E16" i="25"/>
  <c r="E17" i="25" s="1"/>
  <c r="H36" i="16"/>
  <c r="H34" i="16"/>
  <c r="H31" i="35"/>
  <c r="K24" i="27"/>
  <c r="J19" i="27"/>
  <c r="J10" i="27" s="1"/>
  <c r="J11" i="27" s="1"/>
  <c r="K59" i="14"/>
  <c r="H22" i="20" s="1"/>
  <c r="I8" i="16"/>
  <c r="I30" i="16" s="1"/>
  <c r="I8" i="28"/>
  <c r="H21" i="34"/>
  <c r="H10" i="34"/>
  <c r="H11" i="34"/>
  <c r="H32" i="28"/>
  <c r="H33" i="28"/>
  <c r="H31" i="28"/>
  <c r="H18" i="31"/>
  <c r="H19" i="18"/>
  <c r="G23" i="20"/>
  <c r="G29" i="20" s="1"/>
  <c r="H9" i="31" s="1"/>
  <c r="E29" i="25"/>
  <c r="H12" i="28" l="1"/>
  <c r="I11" i="34"/>
  <c r="I10" i="34"/>
  <c r="I33" i="23"/>
  <c r="I10" i="18"/>
  <c r="I41" i="17"/>
  <c r="I14" i="28"/>
  <c r="I35" i="28" s="1"/>
  <c r="I11" i="28"/>
  <c r="I34" i="28" s="1"/>
  <c r="I14" i="16"/>
  <c r="I38" i="16" s="1"/>
  <c r="I11" i="16"/>
  <c r="H12" i="35"/>
  <c r="H37" i="16"/>
  <c r="E30" i="25"/>
  <c r="L59" i="14"/>
  <c r="I22" i="20" s="1"/>
  <c r="J8" i="16"/>
  <c r="J30" i="16" s="1"/>
  <c r="J8" i="28"/>
  <c r="K19" i="27"/>
  <c r="K10" i="27" s="1"/>
  <c r="K11" i="27" s="1"/>
  <c r="L24" i="27"/>
  <c r="L19" i="27" s="1"/>
  <c r="L10" i="27" s="1"/>
  <c r="L11" i="27" s="1"/>
  <c r="G25" i="20"/>
  <c r="H18" i="16"/>
  <c r="H42" i="16"/>
  <c r="I18" i="31"/>
  <c r="I19" i="18"/>
  <c r="H23" i="20"/>
  <c r="H29" i="20" s="1"/>
  <c r="I9" i="31" s="1"/>
  <c r="F29" i="25"/>
  <c r="H9" i="18"/>
  <c r="E27" i="25"/>
  <c r="H27" i="28"/>
  <c r="H27" i="16"/>
  <c r="I21" i="17"/>
  <c r="I33" i="28"/>
  <c r="I32" i="28"/>
  <c r="I31" i="28"/>
  <c r="H13" i="17"/>
  <c r="H19" i="31" s="1"/>
  <c r="H20" i="31" s="1"/>
  <c r="H12" i="34"/>
  <c r="H33" i="35"/>
  <c r="I31" i="35"/>
  <c r="H18" i="28"/>
  <c r="H39" i="28"/>
  <c r="H9" i="34"/>
  <c r="H10" i="17"/>
  <c r="I21" i="34"/>
  <c r="I12" i="17"/>
  <c r="H29" i="34"/>
  <c r="H29" i="17"/>
  <c r="I32" i="35"/>
  <c r="I36" i="16"/>
  <c r="I11" i="35"/>
  <c r="I21" i="35" s="1"/>
  <c r="I35" i="16"/>
  <c r="M10" i="36"/>
  <c r="M12" i="36" s="1"/>
  <c r="F16" i="25"/>
  <c r="F17" i="25" s="1"/>
  <c r="L11" i="13"/>
  <c r="L12" i="13" s="1"/>
  <c r="I34" i="16"/>
  <c r="I11" i="17"/>
  <c r="I10" i="31" s="1"/>
  <c r="H11" i="18"/>
  <c r="H10" i="31"/>
  <c r="I12" i="28" l="1"/>
  <c r="I18" i="28" s="1"/>
  <c r="J41" i="17"/>
  <c r="J33" i="23"/>
  <c r="J10" i="18"/>
  <c r="J14" i="16"/>
  <c r="J38" i="16" s="1"/>
  <c r="J11" i="16"/>
  <c r="J12" i="16" s="1"/>
  <c r="H22" i="35"/>
  <c r="H23" i="35"/>
  <c r="H24" i="35"/>
  <c r="I37" i="16"/>
  <c r="I12" i="35"/>
  <c r="J10" i="34"/>
  <c r="J14" i="28"/>
  <c r="J35" i="28" s="1"/>
  <c r="J11" i="28"/>
  <c r="J34" i="28" s="1"/>
  <c r="J11" i="34"/>
  <c r="I12" i="16"/>
  <c r="I42" i="16" s="1"/>
  <c r="J21" i="34"/>
  <c r="F30" i="25"/>
  <c r="H20" i="18"/>
  <c r="H21" i="18" s="1"/>
  <c r="H18" i="19" s="1"/>
  <c r="J32" i="35"/>
  <c r="I29" i="34"/>
  <c r="I29" i="17"/>
  <c r="H26" i="31"/>
  <c r="H27" i="31" s="1"/>
  <c r="H27" i="18"/>
  <c r="H28" i="18" s="1"/>
  <c r="J21" i="17"/>
  <c r="J11" i="17"/>
  <c r="J11" i="18" s="1"/>
  <c r="J12" i="17"/>
  <c r="H11" i="31"/>
  <c r="H12" i="18"/>
  <c r="I11" i="18"/>
  <c r="I9" i="18"/>
  <c r="F27" i="25"/>
  <c r="I27" i="16"/>
  <c r="I27" i="28"/>
  <c r="E20" i="25"/>
  <c r="H22" i="16"/>
  <c r="H28" i="16"/>
  <c r="H44" i="16"/>
  <c r="I9" i="34"/>
  <c r="I10" i="17"/>
  <c r="I12" i="18" s="1"/>
  <c r="J36" i="16"/>
  <c r="J34" i="16"/>
  <c r="J11" i="35"/>
  <c r="J21" i="35" s="1"/>
  <c r="J35" i="16"/>
  <c r="M11" i="13"/>
  <c r="M12" i="13" s="1"/>
  <c r="G16" i="25"/>
  <c r="G17" i="25" s="1"/>
  <c r="H18" i="17"/>
  <c r="H22" i="17" s="1"/>
  <c r="H21" i="20"/>
  <c r="H25" i="20" s="1"/>
  <c r="H17" i="34"/>
  <c r="N59" i="14"/>
  <c r="K22" i="20" s="1"/>
  <c r="L8" i="16"/>
  <c r="L30" i="16" s="1"/>
  <c r="L8" i="28"/>
  <c r="M59" i="14"/>
  <c r="J22" i="20" s="1"/>
  <c r="K8" i="16"/>
  <c r="K30" i="16" s="1"/>
  <c r="K8" i="28"/>
  <c r="J33" i="28"/>
  <c r="J31" i="28"/>
  <c r="J32" i="28"/>
  <c r="H28" i="28"/>
  <c r="H41" i="28"/>
  <c r="I12" i="34"/>
  <c r="I13" i="17"/>
  <c r="I19" i="31" s="1"/>
  <c r="I20" i="31" s="1"/>
  <c r="J31" i="35"/>
  <c r="I33" i="35"/>
  <c r="G29" i="25"/>
  <c r="J18" i="31"/>
  <c r="J19" i="18"/>
  <c r="I23" i="20"/>
  <c r="I29" i="20" s="1"/>
  <c r="J9" i="31" s="1"/>
  <c r="I39" i="28" l="1"/>
  <c r="K10" i="18"/>
  <c r="K33" i="23"/>
  <c r="L33" i="23"/>
  <c r="L10" i="18"/>
  <c r="K41" i="17"/>
  <c r="L41" i="17" s="1"/>
  <c r="L14" i="28"/>
  <c r="L11" i="28"/>
  <c r="L12" i="28" s="1"/>
  <c r="K14" i="16"/>
  <c r="K38" i="16" s="1"/>
  <c r="K11" i="16"/>
  <c r="K12" i="16" s="1"/>
  <c r="L14" i="16"/>
  <c r="L11" i="16"/>
  <c r="K11" i="34"/>
  <c r="L11" i="34" s="1"/>
  <c r="K14" i="28"/>
  <c r="K35" i="28" s="1"/>
  <c r="K11" i="28"/>
  <c r="K34" i="28" s="1"/>
  <c r="I18" i="16"/>
  <c r="F20" i="25" s="1"/>
  <c r="H30" i="34"/>
  <c r="H30" i="17"/>
  <c r="I22" i="35"/>
  <c r="I23" i="35"/>
  <c r="I24" i="35"/>
  <c r="J12" i="28"/>
  <c r="J18" i="28" s="1"/>
  <c r="H28" i="34"/>
  <c r="H28" i="17"/>
  <c r="H13" i="34"/>
  <c r="H14" i="17"/>
  <c r="H25" i="35"/>
  <c r="H27" i="35" s="1"/>
  <c r="J12" i="35"/>
  <c r="J37" i="16"/>
  <c r="K21" i="34"/>
  <c r="L21" i="34" s="1"/>
  <c r="K10" i="34"/>
  <c r="L10" i="34" s="1"/>
  <c r="G30" i="25"/>
  <c r="L33" i="28"/>
  <c r="L31" i="28"/>
  <c r="L32" i="28"/>
  <c r="K11" i="17"/>
  <c r="K11" i="18" s="1"/>
  <c r="K21" i="17"/>
  <c r="K19" i="18"/>
  <c r="J23" i="20"/>
  <c r="J29" i="20" s="1"/>
  <c r="K9" i="31" s="1"/>
  <c r="H29" i="25"/>
  <c r="K18" i="31"/>
  <c r="J9" i="34"/>
  <c r="J10" i="17"/>
  <c r="J11" i="31" s="1"/>
  <c r="J12" i="34"/>
  <c r="J33" i="35"/>
  <c r="J13" i="17"/>
  <c r="J19" i="31" s="1"/>
  <c r="J20" i="31" s="1"/>
  <c r="K31" i="35"/>
  <c r="I16" i="25"/>
  <c r="L36" i="16"/>
  <c r="L34" i="16"/>
  <c r="L35" i="16"/>
  <c r="O11" i="13"/>
  <c r="L11" i="35"/>
  <c r="L21" i="35" s="1"/>
  <c r="E21" i="25"/>
  <c r="E23" i="25"/>
  <c r="E25" i="25"/>
  <c r="I20" i="18"/>
  <c r="I21" i="18" s="1"/>
  <c r="I18" i="19" s="1"/>
  <c r="I28" i="28"/>
  <c r="I41" i="28"/>
  <c r="H40" i="28"/>
  <c r="H31" i="16"/>
  <c r="H43" i="16"/>
  <c r="L11" i="36"/>
  <c r="L13" i="36" s="1"/>
  <c r="K15" i="13"/>
  <c r="E18" i="25"/>
  <c r="E19" i="25" s="1"/>
  <c r="J18" i="16"/>
  <c r="J42" i="16"/>
  <c r="I27" i="18"/>
  <c r="I28" i="18" s="1"/>
  <c r="I26" i="31"/>
  <c r="L19" i="18"/>
  <c r="K23" i="20"/>
  <c r="K29" i="20" s="1"/>
  <c r="L9" i="31" s="1"/>
  <c r="I29" i="25"/>
  <c r="L18" i="31"/>
  <c r="J10" i="31"/>
  <c r="I18" i="17"/>
  <c r="I22" i="17" s="1"/>
  <c r="I21" i="20"/>
  <c r="I25" i="20" s="1"/>
  <c r="I17" i="34"/>
  <c r="I11" i="31"/>
  <c r="H9" i="21"/>
  <c r="K12" i="17"/>
  <c r="K33" i="28"/>
  <c r="K31" i="28"/>
  <c r="K32" i="28"/>
  <c r="J27" i="16"/>
  <c r="J27" i="28"/>
  <c r="G27" i="25"/>
  <c r="J9" i="18"/>
  <c r="K36" i="16"/>
  <c r="K34" i="16"/>
  <c r="K11" i="35"/>
  <c r="K21" i="35" s="1"/>
  <c r="K35" i="16"/>
  <c r="N11" i="13"/>
  <c r="N12" i="13" s="1"/>
  <c r="H16" i="25"/>
  <c r="H17" i="25" s="1"/>
  <c r="J29" i="34"/>
  <c r="J29" i="17"/>
  <c r="K32" i="35"/>
  <c r="L38" i="16" l="1"/>
  <c r="K12" i="28"/>
  <c r="I30" i="17"/>
  <c r="I30" i="34"/>
  <c r="H15" i="18"/>
  <c r="H14" i="31"/>
  <c r="J39" i="28"/>
  <c r="J22" i="35"/>
  <c r="J24" i="35"/>
  <c r="J23" i="35"/>
  <c r="L12" i="35"/>
  <c r="L37" i="16"/>
  <c r="I13" i="34"/>
  <c r="I14" i="17"/>
  <c r="I25" i="35"/>
  <c r="I27" i="35" s="1"/>
  <c r="I44" i="16"/>
  <c r="H12" i="31"/>
  <c r="H13" i="18"/>
  <c r="E28" i="25"/>
  <c r="E32" i="25" s="1"/>
  <c r="E58" i="25" s="1"/>
  <c r="E59" i="25" s="1"/>
  <c r="E34" i="25"/>
  <c r="E35" i="25" s="1"/>
  <c r="I28" i="16"/>
  <c r="I31" i="16" s="1"/>
  <c r="I28" i="17"/>
  <c r="I28" i="34"/>
  <c r="K12" i="35"/>
  <c r="K37" i="16"/>
  <c r="H13" i="31"/>
  <c r="H14" i="18"/>
  <c r="H32" i="17"/>
  <c r="H38" i="17" s="1"/>
  <c r="L34" i="28"/>
  <c r="L12" i="16"/>
  <c r="L42" i="16" s="1"/>
  <c r="H32" i="34"/>
  <c r="L35" i="28"/>
  <c r="J12" i="18"/>
  <c r="H30" i="25"/>
  <c r="I17" i="25"/>
  <c r="K9" i="18"/>
  <c r="H27" i="25"/>
  <c r="K27" i="16"/>
  <c r="K27" i="28"/>
  <c r="L21" i="17"/>
  <c r="K12" i="34"/>
  <c r="K33" i="35"/>
  <c r="K13" i="17"/>
  <c r="K19" i="31" s="1"/>
  <c r="K20" i="31" s="1"/>
  <c r="L31" i="35"/>
  <c r="L11" i="17"/>
  <c r="L10" i="31" s="1"/>
  <c r="K10" i="31"/>
  <c r="J26" i="31"/>
  <c r="J27" i="18"/>
  <c r="J28" i="18" s="1"/>
  <c r="I30" i="25"/>
  <c r="K16" i="13"/>
  <c r="K17" i="13"/>
  <c r="F25" i="25"/>
  <c r="F23" i="25"/>
  <c r="F21" i="25"/>
  <c r="L9" i="18"/>
  <c r="I27" i="25"/>
  <c r="L27" i="16"/>
  <c r="L27" i="28"/>
  <c r="J41" i="28"/>
  <c r="J28" i="28"/>
  <c r="L39" i="28"/>
  <c r="L18" i="28"/>
  <c r="K29" i="34"/>
  <c r="K29" i="17"/>
  <c r="L32" i="35"/>
  <c r="J20" i="18"/>
  <c r="J21" i="18" s="1"/>
  <c r="J18" i="19" s="1"/>
  <c r="K39" i="28"/>
  <c r="K18" i="28"/>
  <c r="L12" i="17"/>
  <c r="L9" i="34"/>
  <c r="L10" i="17"/>
  <c r="I40" i="28"/>
  <c r="H14" i="21"/>
  <c r="H12" i="21"/>
  <c r="H17" i="21" s="1"/>
  <c r="H24" i="16" s="1"/>
  <c r="K42" i="16"/>
  <c r="K18" i="16"/>
  <c r="J44" i="16"/>
  <c r="G20" i="25"/>
  <c r="J28" i="16"/>
  <c r="J18" i="17"/>
  <c r="J22" i="17" s="1"/>
  <c r="J17" i="34"/>
  <c r="J21" i="20"/>
  <c r="J25" i="20" s="1"/>
  <c r="K9" i="34"/>
  <c r="K10" i="17"/>
  <c r="K12" i="18" s="1"/>
  <c r="O12" i="13"/>
  <c r="M11" i="36" l="1"/>
  <c r="M13" i="36" s="1"/>
  <c r="F18" i="25"/>
  <c r="F19" i="25" s="1"/>
  <c r="I32" i="34"/>
  <c r="L18" i="16"/>
  <c r="L44" i="16" s="1"/>
  <c r="L15" i="13"/>
  <c r="L17" i="13" s="1"/>
  <c r="F34" i="25"/>
  <c r="F35" i="25" s="1"/>
  <c r="F28" i="25"/>
  <c r="F32" i="25" s="1"/>
  <c r="F58" i="25" s="1"/>
  <c r="F59" i="25" s="1"/>
  <c r="K23" i="35"/>
  <c r="K24" i="35"/>
  <c r="K22" i="35"/>
  <c r="L22" i="35"/>
  <c r="L23" i="35"/>
  <c r="L24" i="35"/>
  <c r="J28" i="34"/>
  <c r="J28" i="17"/>
  <c r="J30" i="17"/>
  <c r="J30" i="34"/>
  <c r="I43" i="16"/>
  <c r="I14" i="18"/>
  <c r="I13" i="31"/>
  <c r="I32" i="17"/>
  <c r="I38" i="17" s="1"/>
  <c r="J13" i="34"/>
  <c r="J14" i="17"/>
  <c r="J13" i="18" s="1"/>
  <c r="J25" i="35"/>
  <c r="J27" i="35" s="1"/>
  <c r="I13" i="18"/>
  <c r="I12" i="31"/>
  <c r="I15" i="18"/>
  <c r="I14" i="31"/>
  <c r="H18" i="21"/>
  <c r="H19" i="21" s="1"/>
  <c r="H25" i="16" s="1"/>
  <c r="L12" i="34"/>
  <c r="L33" i="35"/>
  <c r="L13" i="17"/>
  <c r="L19" i="31" s="1"/>
  <c r="L20" i="31" s="1"/>
  <c r="G25" i="25"/>
  <c r="G21" i="25"/>
  <c r="G23" i="25"/>
  <c r="K26" i="31"/>
  <c r="K27" i="18"/>
  <c r="K28" i="18" s="1"/>
  <c r="L29" i="17"/>
  <c r="L29" i="34"/>
  <c r="K44" i="16"/>
  <c r="H20" i="25"/>
  <c r="K28" i="16"/>
  <c r="L11" i="18"/>
  <c r="K20" i="18"/>
  <c r="K21" i="18" s="1"/>
  <c r="K18" i="19" s="1"/>
  <c r="J31" i="16"/>
  <c r="M15" i="13"/>
  <c r="G18" i="25"/>
  <c r="G19" i="25" s="1"/>
  <c r="J43" i="16"/>
  <c r="K41" i="28"/>
  <c r="K28" i="28"/>
  <c r="J40" i="28"/>
  <c r="L41" i="28"/>
  <c r="L28" i="28"/>
  <c r="L12" i="18"/>
  <c r="L11" i="31"/>
  <c r="K11" i="31"/>
  <c r="K18" i="17"/>
  <c r="K22" i="17" s="1"/>
  <c r="K21" i="20"/>
  <c r="K25" i="20" s="1"/>
  <c r="K17" i="34"/>
  <c r="L28" i="16" l="1"/>
  <c r="L43" i="16" s="1"/>
  <c r="I20" i="25"/>
  <c r="L16" i="13"/>
  <c r="G28" i="25"/>
  <c r="G32" i="25" s="1"/>
  <c r="G58" i="25" s="1"/>
  <c r="G59" i="25" s="1"/>
  <c r="K28" i="17"/>
  <c r="K28" i="34"/>
  <c r="L30" i="17"/>
  <c r="L30" i="34"/>
  <c r="L14" i="17"/>
  <c r="L13" i="34"/>
  <c r="L25" i="35"/>
  <c r="J14" i="18"/>
  <c r="J13" i="31"/>
  <c r="J32" i="17"/>
  <c r="J38" i="17" s="1"/>
  <c r="K14" i="17"/>
  <c r="K13" i="34"/>
  <c r="K25" i="35"/>
  <c r="L28" i="17"/>
  <c r="L28" i="34"/>
  <c r="K30" i="17"/>
  <c r="K30" i="34"/>
  <c r="J15" i="18"/>
  <c r="J14" i="31"/>
  <c r="J32" i="34"/>
  <c r="G34" i="25"/>
  <c r="G35" i="25" s="1"/>
  <c r="J12" i="31"/>
  <c r="M17" i="13"/>
  <c r="M16" i="13"/>
  <c r="K8" i="32"/>
  <c r="K9" i="32" s="1"/>
  <c r="E8" i="32"/>
  <c r="E9" i="32" s="1"/>
  <c r="F8" i="32"/>
  <c r="F9" i="32" s="1"/>
  <c r="G8" i="32"/>
  <c r="L40" i="28"/>
  <c r="H8" i="32"/>
  <c r="H9" i="32" s="1"/>
  <c r="I8" i="32"/>
  <c r="I9" i="32" s="1"/>
  <c r="J8" i="32"/>
  <c r="J9" i="32" s="1"/>
  <c r="K20" i="13"/>
  <c r="H17" i="23"/>
  <c r="H19" i="23" s="1"/>
  <c r="H8" i="18"/>
  <c r="H16" i="18" s="1"/>
  <c r="H25" i="23"/>
  <c r="I25" i="25"/>
  <c r="I21" i="25"/>
  <c r="I23" i="25"/>
  <c r="H25" i="25"/>
  <c r="H21" i="25"/>
  <c r="H23" i="25"/>
  <c r="L31" i="16"/>
  <c r="K31" i="16"/>
  <c r="N15" i="13"/>
  <c r="H18" i="25"/>
  <c r="H19" i="25" s="1"/>
  <c r="K43" i="16"/>
  <c r="K40" i="28"/>
  <c r="L27" i="18"/>
  <c r="L28" i="18" s="1"/>
  <c r="L26" i="31"/>
  <c r="L20" i="18"/>
  <c r="L21" i="18" s="1"/>
  <c r="L18" i="19" s="1"/>
  <c r="L18" i="17"/>
  <c r="L22" i="17" s="1"/>
  <c r="L17" i="34"/>
  <c r="O15" i="13" l="1"/>
  <c r="O17" i="13" s="1"/>
  <c r="I18" i="25"/>
  <c r="L32" i="17"/>
  <c r="L38" i="17" s="1"/>
  <c r="L32" i="34"/>
  <c r="K32" i="34"/>
  <c r="I34" i="25"/>
  <c r="I35" i="25" s="1"/>
  <c r="L13" i="31"/>
  <c r="L14" i="18"/>
  <c r="L13" i="18"/>
  <c r="L12" i="31"/>
  <c r="H34" i="25"/>
  <c r="H35" i="25" s="1"/>
  <c r="I28" i="25"/>
  <c r="I32" i="25" s="1"/>
  <c r="I58" i="25" s="1"/>
  <c r="H28" i="25"/>
  <c r="H32" i="25" s="1"/>
  <c r="H58" i="25" s="1"/>
  <c r="H59" i="25" s="1"/>
  <c r="K12" i="31"/>
  <c r="L15" i="18"/>
  <c r="L14" i="31"/>
  <c r="K13" i="18"/>
  <c r="K27" i="35"/>
  <c r="L27" i="35"/>
  <c r="K14" i="18"/>
  <c r="K13" i="31"/>
  <c r="K32" i="17"/>
  <c r="K38" i="17" s="1"/>
  <c r="K15" i="18"/>
  <c r="K14" i="31"/>
  <c r="H17" i="19"/>
  <c r="H22" i="19" s="1"/>
  <c r="H25" i="19" s="1"/>
  <c r="H26" i="19" s="1"/>
  <c r="I24" i="19" s="1"/>
  <c r="H31" i="18"/>
  <c r="G9" i="32"/>
  <c r="H37" i="13"/>
  <c r="H36" i="13"/>
  <c r="I62" i="25"/>
  <c r="I64" i="25" s="1"/>
  <c r="I65" i="25" s="1"/>
  <c r="I19" i="25"/>
  <c r="K21" i="13"/>
  <c r="K22" i="13"/>
  <c r="H42" i="17"/>
  <c r="H44" i="17" s="1"/>
  <c r="I16" i="23"/>
  <c r="N17" i="13"/>
  <c r="N16" i="13"/>
  <c r="H30" i="23"/>
  <c r="H27" i="23"/>
  <c r="H35" i="23"/>
  <c r="O16" i="13" l="1"/>
  <c r="I59" i="25"/>
  <c r="C66" i="25" s="1"/>
  <c r="I66" i="25" s="1"/>
  <c r="I67" i="25" s="1"/>
  <c r="D91" i="25" s="1"/>
  <c r="C63" i="25"/>
  <c r="C64" i="25" s="1"/>
  <c r="C71" i="25" s="1"/>
  <c r="H10" i="19"/>
  <c r="H11" i="19" s="1"/>
  <c r="I71" i="25"/>
  <c r="H46" i="17"/>
  <c r="H45" i="16"/>
  <c r="H33" i="18"/>
  <c r="I32" i="18" s="1"/>
  <c r="I29" i="19"/>
  <c r="C65" i="25" l="1"/>
  <c r="C67" i="25" s="1"/>
  <c r="C91" i="25" s="1"/>
  <c r="C107" i="25" s="1"/>
  <c r="I9" i="19"/>
  <c r="I14" i="19" s="1"/>
  <c r="I39" i="19" s="1"/>
  <c r="I20" i="16" s="1"/>
  <c r="I22" i="16" s="1"/>
  <c r="I9" i="21" s="1"/>
  <c r="I12" i="21" s="1"/>
  <c r="I17" i="21" s="1"/>
  <c r="I24" i="16" s="1"/>
  <c r="H9" i="17"/>
  <c r="H15" i="17" s="1"/>
  <c r="H24" i="17" s="1"/>
  <c r="H48" i="17" s="1"/>
  <c r="D106" i="25"/>
  <c r="C140" i="25" s="1"/>
  <c r="D107" i="25"/>
  <c r="D93" i="25"/>
  <c r="D95" i="25" s="1"/>
  <c r="C122" i="25" s="1"/>
  <c r="D99" i="25"/>
  <c r="D100" i="25"/>
  <c r="D101" i="25"/>
  <c r="D105" i="25"/>
  <c r="O36" i="13"/>
  <c r="O38" i="13" s="1"/>
  <c r="O40" i="13" s="1"/>
  <c r="I69" i="25"/>
  <c r="I70" i="25" s="1"/>
  <c r="C105" i="25" l="1"/>
  <c r="N36" i="13"/>
  <c r="N38" i="13" s="1"/>
  <c r="N40" i="13" s="1"/>
  <c r="C101" i="25"/>
  <c r="C106" i="25"/>
  <c r="C131" i="25" s="1"/>
  <c r="C100" i="25"/>
  <c r="C69" i="25"/>
  <c r="C70" i="25" s="1"/>
  <c r="C99" i="25"/>
  <c r="C93" i="25"/>
  <c r="I14" i="21"/>
  <c r="I18" i="21" s="1"/>
  <c r="I19" i="21" s="1"/>
  <c r="I25" i="16" s="1"/>
  <c r="C95" i="25" l="1"/>
  <c r="C113" i="25" s="1"/>
  <c r="I8" i="18"/>
  <c r="I16" i="18" s="1"/>
  <c r="I17" i="23"/>
  <c r="I19" i="23" s="1"/>
  <c r="L20" i="13"/>
  <c r="I25" i="23"/>
  <c r="L22" i="13" l="1"/>
  <c r="L21" i="13"/>
  <c r="I27" i="23"/>
  <c r="I35" i="23"/>
  <c r="I30" i="23"/>
  <c r="J16" i="23"/>
  <c r="I42" i="17"/>
  <c r="I44" i="17" s="1"/>
  <c r="I17" i="19"/>
  <c r="I22" i="19" s="1"/>
  <c r="I25" i="19" s="1"/>
  <c r="I26" i="19" s="1"/>
  <c r="J24" i="19" s="1"/>
  <c r="J29" i="19" s="1"/>
  <c r="I31" i="18"/>
  <c r="I10" i="19" l="1"/>
  <c r="I11" i="19" s="1"/>
  <c r="I33" i="18"/>
  <c r="J32" i="18" s="1"/>
  <c r="I46" i="17"/>
  <c r="I45" i="16"/>
  <c r="J9" i="19" l="1"/>
  <c r="J14" i="19" s="1"/>
  <c r="J39" i="19" s="1"/>
  <c r="J20" i="16" s="1"/>
  <c r="J22" i="16" s="1"/>
  <c r="J9" i="21" s="1"/>
  <c r="J12" i="21" s="1"/>
  <c r="J17" i="21" s="1"/>
  <c r="J24" i="16" s="1"/>
  <c r="I9" i="17"/>
  <c r="I15" i="17" s="1"/>
  <c r="I24" i="17" s="1"/>
  <c r="I48" i="17" s="1"/>
  <c r="J14" i="21" l="1"/>
  <c r="J18" i="21" s="1"/>
  <c r="J19" i="21" s="1"/>
  <c r="J25" i="16" s="1"/>
  <c r="J8" i="18" l="1"/>
  <c r="J16" i="18" s="1"/>
  <c r="J17" i="23"/>
  <c r="J19" i="23" s="1"/>
  <c r="J25" i="23"/>
  <c r="M20" i="13"/>
  <c r="M22" i="13" l="1"/>
  <c r="M21" i="13"/>
  <c r="J30" i="23"/>
  <c r="J27" i="23"/>
  <c r="J35" i="23"/>
  <c r="K16" i="23"/>
  <c r="J42" i="17"/>
  <c r="J44" i="17" s="1"/>
  <c r="J17" i="19"/>
  <c r="J22" i="19" s="1"/>
  <c r="J25" i="19" s="1"/>
  <c r="J26" i="19" s="1"/>
  <c r="K24" i="19" s="1"/>
  <c r="K29" i="19" s="1"/>
  <c r="J31" i="18"/>
  <c r="J10" i="19" l="1"/>
  <c r="J11" i="19" s="1"/>
  <c r="J33" i="18"/>
  <c r="K32" i="18" s="1"/>
  <c r="J46" i="17"/>
  <c r="J45" i="16"/>
  <c r="K9" i="19" l="1"/>
  <c r="K14" i="19" s="1"/>
  <c r="K39" i="19" s="1"/>
  <c r="K20" i="16" s="1"/>
  <c r="K22" i="16" s="1"/>
  <c r="K9" i="21" s="1"/>
  <c r="K14" i="21" s="1"/>
  <c r="J9" i="17"/>
  <c r="J15" i="17" s="1"/>
  <c r="J24" i="17" s="1"/>
  <c r="J48" i="17" s="1"/>
  <c r="K12" i="21" l="1"/>
  <c r="K17" i="21" s="1"/>
  <c r="K24" i="16" s="1"/>
  <c r="K18" i="21" l="1"/>
  <c r="K19" i="21" s="1"/>
  <c r="K25" i="16" s="1"/>
  <c r="K17" i="23" s="1"/>
  <c r="K19" i="23" s="1"/>
  <c r="N20" i="13" l="1"/>
  <c r="N21" i="13" s="1"/>
  <c r="K8" i="18"/>
  <c r="K16" i="18" s="1"/>
  <c r="K17" i="19" s="1"/>
  <c r="K22" i="19" s="1"/>
  <c r="K25" i="19" s="1"/>
  <c r="K26" i="19" s="1"/>
  <c r="L24" i="19" s="1"/>
  <c r="L29" i="19" s="1"/>
  <c r="K25" i="23"/>
  <c r="K27" i="23" s="1"/>
  <c r="K42" i="17"/>
  <c r="K44" i="17" s="1"/>
  <c r="L16" i="23"/>
  <c r="K35" i="23" l="1"/>
  <c r="K30" i="23"/>
  <c r="N22" i="13"/>
  <c r="K31" i="18"/>
  <c r="K33" i="18" s="1"/>
  <c r="L32" i="18" s="1"/>
  <c r="K46" i="17"/>
  <c r="K45" i="16"/>
  <c r="K10" i="19" l="1"/>
  <c r="K11" i="19" s="1"/>
  <c r="L9" i="19" s="1"/>
  <c r="L14" i="19" s="1"/>
  <c r="L39" i="19" s="1"/>
  <c r="L20" i="16" s="1"/>
  <c r="L22" i="16" s="1"/>
  <c r="L9" i="21" s="1"/>
  <c r="L12" i="21" s="1"/>
  <c r="L17" i="21" s="1"/>
  <c r="L24" i="16" s="1"/>
  <c r="K9" i="17" l="1"/>
  <c r="K15" i="17" s="1"/>
  <c r="K24" i="17" s="1"/>
  <c r="K48" i="17" s="1"/>
  <c r="L14" i="21"/>
  <c r="L18" i="21" s="1"/>
  <c r="L19" i="21" s="1"/>
  <c r="L25" i="16" s="1"/>
  <c r="L8" i="18" l="1"/>
  <c r="L16" i="18" s="1"/>
  <c r="O20" i="13"/>
  <c r="L17" i="23"/>
  <c r="L19" i="23" s="1"/>
  <c r="L42" i="17" s="1"/>
  <c r="L44" i="17" s="1"/>
  <c r="L46" i="17" s="1"/>
  <c r="L25" i="23"/>
  <c r="L45" i="16" l="1"/>
  <c r="O21" i="13"/>
  <c r="O22" i="13"/>
  <c r="L27" i="23"/>
  <c r="L35" i="23"/>
  <c r="L30" i="23"/>
  <c r="L17" i="19"/>
  <c r="L22" i="19" s="1"/>
  <c r="L25" i="19" s="1"/>
  <c r="L26" i="19" s="1"/>
  <c r="L31" i="18"/>
  <c r="L10" i="19" l="1"/>
  <c r="L11" i="19" s="1"/>
  <c r="L9" i="17" s="1"/>
  <c r="L15" i="17" s="1"/>
  <c r="L24" i="17" s="1"/>
  <c r="L48" i="17" s="1"/>
  <c r="L33" i="18"/>
  <c r="I18" i="34" l="1"/>
  <c r="J18" i="34" s="1"/>
  <c r="H22" i="34"/>
  <c r="I22" i="34" l="1"/>
  <c r="K18" i="34"/>
  <c r="J22" i="34"/>
  <c r="L18" i="34" l="1"/>
  <c r="L22" i="34" s="1"/>
  <c r="K22" i="34"/>
  <c r="H8" i="34"/>
  <c r="I8" i="34"/>
  <c r="J8" i="34"/>
  <c r="K8" i="34"/>
  <c r="L8" i="34"/>
  <c r="H14" i="34"/>
  <c r="I14" i="34"/>
  <c r="J14" i="34"/>
  <c r="K14" i="34"/>
  <c r="L14" i="34"/>
  <c r="H24" i="34"/>
  <c r="I24" i="34"/>
  <c r="J24" i="34"/>
  <c r="K24" i="34"/>
  <c r="L24" i="34"/>
  <c r="H35" i="34"/>
  <c r="I35" i="34"/>
  <c r="J35" i="34"/>
  <c r="K35" i="34"/>
  <c r="L35" i="34"/>
  <c r="H36" i="34"/>
  <c r="I36" i="34"/>
  <c r="J36" i="34"/>
  <c r="K36" i="34"/>
  <c r="L36" i="34"/>
  <c r="H38" i="34"/>
  <c r="I38" i="34"/>
  <c r="J38" i="34"/>
  <c r="K38" i="34"/>
  <c r="L38" i="34"/>
  <c r="H42" i="34"/>
  <c r="I42" i="34"/>
  <c r="J42" i="34"/>
  <c r="K42" i="34"/>
  <c r="L42" i="34"/>
  <c r="H45" i="34"/>
  <c r="I45" i="34"/>
  <c r="J45" i="34"/>
  <c r="K45" i="34"/>
  <c r="L45" i="34"/>
  <c r="H47" i="34"/>
  <c r="I47" i="34"/>
  <c r="J47" i="34"/>
  <c r="K47" i="34"/>
  <c r="L47" i="34"/>
  <c r="H49" i="34"/>
  <c r="I49" i="34"/>
  <c r="J49" i="34"/>
  <c r="K49" i="34"/>
  <c r="L49" i="34"/>
  <c r="H8" i="31"/>
  <c r="I8" i="31"/>
  <c r="J8" i="31"/>
  <c r="K8" i="31"/>
  <c r="L8" i="31"/>
  <c r="H15" i="31"/>
  <c r="I15" i="31"/>
  <c r="J15" i="31"/>
  <c r="K15" i="31"/>
  <c r="L15" i="31"/>
  <c r="I24" i="31"/>
  <c r="J24" i="31"/>
  <c r="K24" i="31"/>
  <c r="L24" i="31"/>
  <c r="I27" i="31"/>
  <c r="J27" i="31"/>
  <c r="K27" i="31"/>
  <c r="L27" i="31"/>
  <c r="H29" i="31"/>
  <c r="I29" i="31"/>
  <c r="J29" i="31"/>
  <c r="K29" i="31"/>
  <c r="L29" i="31"/>
  <c r="H30" i="31"/>
  <c r="I30" i="31"/>
  <c r="J30" i="31"/>
  <c r="K30" i="31"/>
  <c r="L30" i="31"/>
  <c r="H31" i="31"/>
  <c r="I31" i="31"/>
  <c r="J31" i="31"/>
  <c r="K31" i="31"/>
  <c r="L31" i="31"/>
  <c r="H32" i="31"/>
  <c r="I32" i="31"/>
  <c r="J32" i="31"/>
  <c r="K32" i="31"/>
  <c r="L32" i="31"/>
  <c r="I33" i="31"/>
  <c r="J33" i="31"/>
  <c r="K33" i="31"/>
  <c r="L33" i="31"/>
  <c r="H34" i="31"/>
  <c r="I34" i="31"/>
  <c r="J34" i="31"/>
  <c r="K34" i="31"/>
  <c r="L34" i="31"/>
  <c r="B22" i="12"/>
  <c r="J22" i="12"/>
  <c r="K22" i="12"/>
  <c r="F23" i="12"/>
  <c r="F24" i="12"/>
  <c r="B25" i="12"/>
  <c r="F25" i="12"/>
  <c r="B26" i="12"/>
  <c r="H20" i="28"/>
  <c r="I20" i="28"/>
  <c r="J20" i="28"/>
  <c r="K20" i="28"/>
  <c r="L20" i="28"/>
  <c r="H22" i="28"/>
  <c r="I22" i="28"/>
  <c r="J22" i="28"/>
  <c r="K22" i="28"/>
  <c r="L22" i="28"/>
  <c r="H24" i="28"/>
  <c r="I24" i="28"/>
  <c r="J24" i="28"/>
  <c r="K24" i="28"/>
  <c r="L24" i="28"/>
  <c r="H25" i="28"/>
  <c r="I25" i="28"/>
  <c r="J25" i="28"/>
  <c r="K25" i="28"/>
  <c r="L25" i="28"/>
  <c r="H42" i="28"/>
  <c r="I42" i="28"/>
  <c r="J42" i="28"/>
  <c r="K42" i="28"/>
  <c r="L42" i="28"/>
  <c r="I9" i="29"/>
  <c r="J9" i="29"/>
  <c r="K9" i="29"/>
  <c r="L9" i="29"/>
  <c r="H10" i="29"/>
  <c r="I10" i="29"/>
  <c r="J10" i="29"/>
  <c r="K10" i="29"/>
  <c r="L10" i="29"/>
  <c r="H11" i="29"/>
  <c r="I11" i="29"/>
  <c r="J11" i="29"/>
  <c r="K11" i="29"/>
  <c r="L11" i="29"/>
  <c r="H12" i="29"/>
  <c r="I12" i="29"/>
  <c r="J12" i="29"/>
  <c r="K12" i="29"/>
  <c r="L12" i="29"/>
  <c r="H14" i="29"/>
  <c r="I14" i="29"/>
  <c r="J14" i="29"/>
  <c r="K14" i="29"/>
  <c r="L14" i="29"/>
  <c r="I17" i="29"/>
  <c r="J17" i="29"/>
  <c r="K17" i="29"/>
  <c r="L17" i="29"/>
  <c r="I19" i="29"/>
  <c r="J19" i="29"/>
  <c r="K19" i="29"/>
  <c r="L19" i="29"/>
  <c r="H20" i="29"/>
  <c r="I20" i="29"/>
  <c r="J20" i="29"/>
  <c r="K20" i="29"/>
  <c r="L20" i="29"/>
  <c r="H21" i="29"/>
  <c r="I21" i="29"/>
  <c r="J21" i="29"/>
  <c r="K21" i="29"/>
  <c r="L21" i="29"/>
  <c r="H24" i="29"/>
  <c r="I24" i="29"/>
  <c r="J24" i="29"/>
  <c r="K24" i="29"/>
  <c r="L24" i="29"/>
  <c r="H25" i="29"/>
  <c r="I25" i="29"/>
  <c r="J25" i="29"/>
  <c r="K25" i="29"/>
  <c r="L25" i="29"/>
  <c r="H27" i="29"/>
  <c r="I27" i="29"/>
  <c r="J27" i="29"/>
  <c r="K27" i="29"/>
  <c r="L27" i="29"/>
  <c r="I30" i="29"/>
  <c r="J30" i="29"/>
  <c r="K30" i="29"/>
  <c r="L30" i="29"/>
  <c r="I31" i="29"/>
  <c r="J31" i="29"/>
  <c r="K31" i="29"/>
  <c r="L31" i="29"/>
  <c r="H32" i="29"/>
  <c r="I32" i="29"/>
  <c r="J32" i="29"/>
  <c r="K32" i="29"/>
  <c r="L32" i="29"/>
  <c r="H33" i="29"/>
  <c r="I33" i="29"/>
  <c r="J33" i="29"/>
  <c r="K33" i="29"/>
  <c r="L33" i="29"/>
  <c r="H35" i="29"/>
  <c r="I35" i="29"/>
  <c r="J35" i="29"/>
  <c r="K35" i="29"/>
  <c r="L35" i="29"/>
  <c r="I38" i="29"/>
  <c r="J38" i="29"/>
  <c r="K38" i="29"/>
  <c r="L38" i="29"/>
  <c r="I39" i="29"/>
  <c r="J39" i="29"/>
  <c r="K39" i="29"/>
  <c r="L39" i="29"/>
  <c r="H40" i="29"/>
  <c r="I40" i="29"/>
  <c r="J40" i="29"/>
  <c r="K40" i="29"/>
  <c r="L40" i="29"/>
  <c r="H41" i="29"/>
  <c r="I41" i="29"/>
  <c r="J41" i="29"/>
  <c r="K41" i="29"/>
  <c r="L41" i="29"/>
  <c r="H43" i="29"/>
  <c r="I43" i="29"/>
  <c r="J43" i="29"/>
  <c r="K43" i="29"/>
  <c r="L43" i="29"/>
  <c r="I64" i="29"/>
  <c r="J64" i="29"/>
  <c r="K64" i="29"/>
  <c r="L64" i="29"/>
  <c r="H66" i="29"/>
  <c r="I66" i="29"/>
  <c r="J66" i="29"/>
  <c r="K66" i="29"/>
  <c r="L66" i="29"/>
  <c r="H75" i="29"/>
  <c r="I75" i="29"/>
  <c r="J75" i="29"/>
  <c r="K75" i="29"/>
  <c r="L75" i="29"/>
  <c r="H76" i="29"/>
  <c r="I76" i="29"/>
  <c r="J76" i="29"/>
  <c r="K76" i="29"/>
  <c r="L76" i="29"/>
  <c r="H77" i="29"/>
  <c r="I77" i="29"/>
  <c r="J77" i="29"/>
  <c r="K77" i="29"/>
  <c r="L77" i="29"/>
  <c r="H81" i="29"/>
  <c r="I81" i="29"/>
  <c r="J81" i="29"/>
  <c r="K81" i="29"/>
  <c r="L81" i="29"/>
  <c r="H83" i="29"/>
  <c r="I83" i="29"/>
  <c r="J83" i="29"/>
  <c r="K83" i="29"/>
  <c r="L83" i="29"/>
  <c r="H89" i="29"/>
  <c r="I89" i="29"/>
  <c r="J89" i="29"/>
  <c r="K89" i="29"/>
  <c r="L89" i="29"/>
  <c r="H90" i="29"/>
  <c r="I90" i="29"/>
  <c r="J90" i="29"/>
  <c r="K90" i="29"/>
  <c r="L90" i="29"/>
  <c r="H91" i="29"/>
  <c r="I91" i="29"/>
  <c r="J91" i="29"/>
  <c r="K91" i="29"/>
  <c r="L91" i="29"/>
  <c r="H92" i="29"/>
  <c r="I92" i="29"/>
  <c r="J92" i="29"/>
  <c r="K92" i="29"/>
  <c r="L92" i="29"/>
  <c r="H93" i="29"/>
  <c r="I93" i="29"/>
  <c r="J93" i="29"/>
  <c r="K93" i="29"/>
  <c r="L93" i="29"/>
  <c r="E12" i="32"/>
  <c r="F12" i="32"/>
  <c r="G12" i="32"/>
  <c r="H12" i="32"/>
  <c r="I12" i="32"/>
  <c r="J12" i="32"/>
  <c r="K12" i="32"/>
  <c r="E13" i="32"/>
  <c r="F13" i="32"/>
  <c r="G13" i="32"/>
  <c r="H13" i="32"/>
  <c r="I13" i="32"/>
  <c r="J13" i="32"/>
  <c r="K13" i="32"/>
  <c r="E14" i="32"/>
  <c r="F14" i="32"/>
  <c r="G14" i="32"/>
  <c r="H14" i="32"/>
  <c r="I14" i="32"/>
  <c r="J14" i="32"/>
  <c r="K14" i="32"/>
  <c r="E17" i="32"/>
  <c r="F17" i="32"/>
  <c r="G17" i="32"/>
  <c r="H17" i="32"/>
  <c r="I17" i="32"/>
  <c r="J17" i="32"/>
  <c r="K17" i="32"/>
  <c r="E19" i="32"/>
  <c r="F19" i="32"/>
  <c r="G19" i="32"/>
  <c r="H19" i="32"/>
  <c r="I19" i="32"/>
  <c r="J19" i="32"/>
  <c r="K19" i="32"/>
  <c r="D8" i="33"/>
  <c r="E8" i="33"/>
  <c r="G8" i="33"/>
  <c r="H8" i="33"/>
  <c r="I8" i="33"/>
  <c r="J8" i="33"/>
  <c r="K8" i="33"/>
  <c r="D9" i="33"/>
  <c r="E9" i="33"/>
  <c r="G9" i="33"/>
  <c r="H9" i="33"/>
  <c r="I9" i="33"/>
  <c r="J9" i="33"/>
  <c r="K9" i="33"/>
  <c r="D10" i="33"/>
  <c r="E10" i="33"/>
  <c r="G10" i="33"/>
  <c r="H10" i="33"/>
  <c r="I10" i="33"/>
  <c r="J10" i="33"/>
  <c r="K10" i="33"/>
  <c r="D14" i="33"/>
  <c r="E14" i="33"/>
  <c r="K14" i="33"/>
  <c r="D15" i="33"/>
  <c r="E15" i="33"/>
  <c r="K15" i="33"/>
  <c r="D16" i="33"/>
  <c r="E16" i="33"/>
  <c r="K16" i="33"/>
  <c r="D17" i="33"/>
  <c r="E17" i="33"/>
  <c r="K17" i="33"/>
  <c r="D18" i="33"/>
  <c r="E18" i="33"/>
  <c r="K18" i="33"/>
  <c r="D19" i="33"/>
  <c r="E19" i="33"/>
  <c r="K19" i="33"/>
  <c r="D20" i="33"/>
  <c r="E20" i="33"/>
  <c r="K20" i="33"/>
  <c r="F26" i="33"/>
  <c r="G26" i="33"/>
  <c r="H26" i="33"/>
  <c r="I26" i="33"/>
  <c r="J26" i="33"/>
  <c r="K26" i="33"/>
  <c r="F28" i="33"/>
  <c r="G28" i="33"/>
  <c r="H28" i="33"/>
  <c r="I28" i="33"/>
  <c r="J28" i="33"/>
  <c r="K28" i="33"/>
  <c r="F29" i="33"/>
  <c r="G29" i="33"/>
  <c r="H29" i="33"/>
  <c r="I29" i="33"/>
  <c r="J29" i="33"/>
  <c r="K29" i="33"/>
  <c r="F31" i="33"/>
  <c r="G31" i="33"/>
  <c r="H31" i="33"/>
  <c r="I31" i="33"/>
  <c r="J31" i="33"/>
  <c r="K31" i="33"/>
  <c r="F32" i="33"/>
  <c r="G32" i="33"/>
  <c r="H32" i="33"/>
  <c r="I32" i="33"/>
  <c r="J32" i="33"/>
  <c r="K32" i="33"/>
  <c r="H9" i="30"/>
  <c r="I9" i="30"/>
  <c r="J9" i="30"/>
  <c r="K9" i="30"/>
  <c r="L9" i="30"/>
  <c r="H12" i="30"/>
  <c r="I12" i="30"/>
  <c r="J12" i="30"/>
  <c r="K12" i="30"/>
  <c r="L12" i="30"/>
  <c r="H14" i="30"/>
  <c r="I14" i="30"/>
  <c r="J14" i="30"/>
  <c r="K14" i="30"/>
  <c r="L14" i="30"/>
  <c r="H17" i="30"/>
  <c r="I17" i="30"/>
  <c r="J17" i="30"/>
  <c r="K17" i="30"/>
  <c r="L17" i="30"/>
  <c r="H18" i="30"/>
  <c r="I18" i="30"/>
  <c r="J18" i="30"/>
  <c r="K18" i="30"/>
  <c r="L18" i="30"/>
  <c r="H19" i="30"/>
  <c r="I19" i="30"/>
  <c r="J19" i="30"/>
  <c r="K19" i="30"/>
  <c r="L19" i="30"/>
  <c r="K25" i="13"/>
  <c r="L25" i="13"/>
  <c r="M25" i="13"/>
  <c r="N25" i="13"/>
  <c r="O25" i="13"/>
  <c r="K26" i="13"/>
  <c r="L26" i="13"/>
  <c r="M26" i="13"/>
  <c r="N26" i="13"/>
  <c r="O26" i="13"/>
  <c r="K27" i="13"/>
  <c r="L27" i="13"/>
  <c r="M27" i="13"/>
  <c r="N27" i="13"/>
  <c r="O27" i="13"/>
  <c r="K28" i="13"/>
  <c r="L28" i="13"/>
  <c r="M28" i="13"/>
  <c r="N28" i="13"/>
  <c r="O28" i="13"/>
  <c r="K29" i="13"/>
  <c r="L29" i="13"/>
  <c r="M29" i="13"/>
  <c r="N29" i="13"/>
  <c r="O29" i="13"/>
  <c r="H38" i="13"/>
  <c r="H40" i="13"/>
  <c r="H41" i="13"/>
  <c r="M50" i="13"/>
  <c r="N50" i="13"/>
  <c r="O50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Tyler S</author>
  </authors>
  <commentList>
    <comment ref="D19" authorId="0" shapeId="0" xr:uid="{A3D322A2-010B-4CDB-87BF-888D9FBDD2AC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Snapshots of each case - not live.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Tyler S</author>
  </authors>
  <commentList>
    <comment ref="N7" authorId="0" shapeId="0" xr:uid="{F6697B58-E85F-480A-AB35-BD59CC413AD6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Market data — closing share price as of the stated date. </t>
        </r>
      </text>
    </comment>
    <comment ref="N9" authorId="0" shapeId="0" xr:uid="{3EED6197-F63F-4DB6-BC3E-FA86A3C7AD82}">
      <text>
        <r>
          <rPr>
            <b/>
            <sz val="9"/>
            <color indexed="81"/>
            <rFont val="Tahoma"/>
            <family val="2"/>
          </rPr>
          <t>Tyler S:
920,664,542 shares of common stock outstanding as of January 28, 2026. Source: FY2025 10-K cover page, p.2.</t>
        </r>
      </text>
    </comment>
    <comment ref="N10" authorId="0" shapeId="0" xr:uid="{B397BFB9-EDE8-4B6F-A1D8-5E13FC66702E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Market data — LTM average share price.</t>
        </r>
      </text>
    </comment>
    <comment ref="N11" authorId="0" shapeId="0" xr:uid="{360C5050-FECB-40A1-AB23-3D6D7BB908D2}">
      <text>
        <r>
          <rPr>
            <b/>
            <sz val="9"/>
            <color indexed="81"/>
            <rFont val="Tahoma"/>
            <family val="2"/>
          </rPr>
          <t>Tyler S:
RSUs outstanding at Dec 31, 2025 per RSU/PBRSU/restricted stock activity table. Source: FY2025 10-K, p.112.</t>
        </r>
      </text>
    </comment>
    <comment ref="N12" authorId="0" shapeId="0" xr:uid="{4675B524-8EB4-481A-BB13-344772927EBA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PayPal initiated .14 cent quarterly dividend october 2025</t>
        </r>
      </text>
    </comment>
    <comment ref="N19" authorId="0" shapeId="0" xr:uid="{629574C7-3BC1-4C5D-B38C-667B19C880A0}">
      <text>
        <r>
          <rPr>
            <b/>
            <sz val="9"/>
            <color indexed="81"/>
            <rFont val="Tahoma"/>
            <family val="2"/>
          </rPr>
          <t>Tyler S:
TPV grew 7% in 2025 to $1.79 trillion; growth assumption anchored to this KPI. Generally, TPV has compressed since 2021, so the base case provides a conservative basis for growth. Source: FY2025 10-K, Key Performance Metrics p.5 &amp; MD&amp;A p.33.</t>
        </r>
      </text>
    </comment>
    <comment ref="N20" authorId="0" shapeId="0" xr:uid="{9F571785-E3CA-41D3-A1D1-592406BA84A0}">
      <text>
        <r>
          <rPr>
            <b/>
            <sz val="9"/>
            <color indexed="81"/>
            <rFont val="Tahoma"/>
            <family val="2"/>
          </rPr>
          <t>Tyler S:
Take rate = transaction revenue / TPV; net revenue growth correlated with TPV. Source: FY2025 10-K, MD&amp;A p.33 &amp; revenue description p.35.</t>
        </r>
      </text>
    </comment>
    <comment ref="N21" authorId="0" shapeId="0" xr:uid="{7F62515B-17EF-41E7-AAB8-4655B038090A}">
      <text>
        <r>
          <rPr>
            <b/>
            <sz val="9"/>
            <color indexed="81"/>
            <rFont val="Tahoma"/>
            <family val="2"/>
          </rPr>
          <t>Tyler S:
Revenues from other value-added services (partnerships, interest/fees, gateway). OVAS revenue growth has varied dramatically in the last 2 years. 4% used as a conservative baseline. Source: FY2025 10-K, revenue description p.35 &amp; MD&amp;A p.33.</t>
        </r>
      </text>
    </comment>
    <comment ref="H28" authorId="0" shapeId="0" xr:uid="{AFC2A8D8-6C05-4134-8EF9-432A023D7755}">
      <text>
        <r>
          <rPr>
            <b/>
            <sz val="9"/>
            <color indexed="81"/>
            <rFont val="Tahoma"/>
            <family val="2"/>
          </rPr>
          <t>% of TPV; set off FY2025 transaction expense of $15,987M. Source: FY2025 10-K, Results of Operations, p.38.</t>
        </r>
      </text>
    </comment>
    <comment ref="N28" authorId="0" shapeId="0" xr:uid="{A221EFF0-A4FB-44B7-94EB-5E15C97614BC}">
      <text>
        <r>
          <rPr>
            <b/>
            <sz val="9"/>
            <color indexed="81"/>
            <rFont val="Tahoma"/>
            <family val="2"/>
          </rPr>
          <t>Tyler S:
Interest earned on cash &amp; cash equivalents. Source: FY2025 10-K, Liquidity &amp; Capital Resources, p.51.</t>
        </r>
      </text>
    </comment>
    <comment ref="H29" authorId="0" shapeId="0" xr:uid="{102986D6-0B8C-4400-9E00-0135AB971FE6}">
      <text>
        <r>
          <rPr>
            <b/>
            <sz val="9"/>
            <color indexed="81"/>
            <rFont val="Tahoma"/>
            <family val="2"/>
          </rPr>
          <t>% of TPV; set off FY2025 transaction &amp; credit losses of $1,720M. Source: FY2025 10-K, p.38.</t>
        </r>
      </text>
    </comment>
    <comment ref="H30" authorId="0" shapeId="0" xr:uid="{F6B9B25A-D565-463E-AC89-EDF3B0FFA60A}">
      <text>
        <r>
          <rPr>
            <b/>
            <sz val="9"/>
            <color indexed="81"/>
            <rFont val="Tahoma"/>
            <family val="2"/>
          </rPr>
          <t>% of revenue; set off FY2025 customer support &amp; operations of $1,704M. Source: FY2025 10-K, p.38.</t>
        </r>
      </text>
    </comment>
    <comment ref="N30" authorId="0" shapeId="0" xr:uid="{8B3E1D23-A400-42E8-AD00-4A03C4064B6B}">
      <text>
        <r>
          <rPr>
            <b/>
            <sz val="9"/>
            <color indexed="81"/>
            <rFont val="Tahoma"/>
            <family val="2"/>
          </rPr>
          <t>Tyler S:
Based on fixed-rate 3.900% notes due 6/1/2027 (term debt). Source: FY2025 10-K, term debt detail, p.103.</t>
        </r>
      </text>
    </comment>
    <comment ref="H31" authorId="0" shapeId="0" xr:uid="{D55726A3-E15B-40F9-919A-2BA274F585DF}">
      <text>
        <r>
          <rPr>
            <b/>
            <sz val="9"/>
            <color indexed="81"/>
            <rFont val="Tahoma"/>
            <family val="2"/>
          </rPr>
          <t>% of revenue; set off FY2025 sales &amp; marketing of $2,283M. Source: FY2025 10-K, p.38.</t>
        </r>
      </text>
    </comment>
    <comment ref="N31" authorId="0" shapeId="0" xr:uid="{EA1F181C-2796-4AEA-B031-4600BDF7F584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Annual change in effective yield on customer balances (rate-cut path). 2025A effective yield ≈ 3.2% (=$1,230M interest / $38,198M funds). Projected yields step down by this amount each year. Mgmt guided ~$150M / one-point interest headwind into 2025 from rate cuts. Source: PayPal Q4'24 earnings call &amp; Q4/FY2025 earnings release.</t>
        </r>
      </text>
    </comment>
    <comment ref="H32" authorId="0" shapeId="0" xr:uid="{51337962-A73D-4E66-A475-FE2321732829}">
      <text>
        <r>
          <rPr>
            <b/>
            <sz val="9"/>
            <color indexed="81"/>
            <rFont val="Tahoma"/>
            <family val="2"/>
          </rPr>
          <t>% of revenue; set off FY2025 technology &amp; development of $3,103M. Source: FY2025 10-K, p.38.</t>
        </r>
      </text>
    </comment>
    <comment ref="N32" authorId="0" shapeId="0" xr:uid="{48138AE1-F74B-44DE-8CBB-9AC2782D58E1}">
      <text>
        <r>
          <rPr>
            <b/>
            <sz val="9"/>
            <color indexed="81"/>
            <rFont val="Tahoma"/>
            <family val="2"/>
          </rPr>
          <t>Tyler S:
Annual growth of Funds receivable and customer accounts (the interest-earning base). 2025 balance $38,198M vs 2024 $37,671M = +1.4%. Source: FY2025 10-K, Consolidated Balance Sheets, p.58.</t>
        </r>
      </text>
    </comment>
    <comment ref="H33" authorId="0" shapeId="0" xr:uid="{9B3ACD4E-E03C-4769-8D89-A1EB3D242D41}">
      <text>
        <r>
          <rPr>
            <b/>
            <sz val="9"/>
            <color indexed="81"/>
            <rFont val="Tahoma"/>
            <family val="2"/>
          </rPr>
          <t>% of revenue; set off FY2025 general &amp; administrative of $1,979M. Source: FY2025 10-K, p.38.</t>
        </r>
      </text>
    </comment>
    <comment ref="H34" authorId="0" shapeId="0" xr:uid="{60A2F32B-6EB7-4868-867B-931F7C9800E4}">
      <text>
        <r>
          <rPr>
            <b/>
            <sz val="9"/>
            <color indexed="81"/>
            <rFont val="Tahoma"/>
            <family val="2"/>
          </rPr>
          <t>% of revenue; anchored to FY2025 stock-based compensation expense. Source: FY2025 10-K, Consolidated Statements of Cash Flows.</t>
        </r>
      </text>
    </comment>
    <comment ref="H39" authorId="0" shapeId="0" xr:uid="{E4A33C07-0E20-4562-B72F-5A54AB9AC845}">
      <text>
        <r>
          <rPr>
            <b/>
            <sz val="9"/>
            <color indexed="81"/>
            <rFont val="Tahoma"/>
            <family val="2"/>
          </rPr>
          <t>% of revenue; anchored to FY2025 purchases of property &amp; equipment. Source: FY2025 10-K, Consolidated Statements of Cash Flows.</t>
        </r>
      </text>
    </comment>
    <comment ref="N39" authorId="0" shapeId="0" xr:uid="{697314B6-81FD-444B-A379-FBCF7EBDA8C2}">
      <text>
        <r>
          <rPr>
            <b/>
            <sz val="9"/>
            <color indexed="81"/>
            <rFont val="Tahoma"/>
            <family val="2"/>
          </rPr>
          <t>Tyler S:
U.S. federal statutory rate of 21%. Source: FY2025 10-K, effective income tax rate reconciliation, p.114.</t>
        </r>
      </text>
    </comment>
    <comment ref="H45" authorId="0" shapeId="0" xr:uid="{F277BBBE-429C-46F9-BBA9-C5E68E5E49D8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Scheduled term debt maturities by year (fixed/floating rate notes with stated maturity dates). Source: 2025 10-K, term debt detail, p.105.</t>
        </r>
      </text>
    </comment>
    <comment ref="J57" authorId="0" shapeId="0" xr:uid="{A56748FB-4277-41A6-B612-0EBBA1DA9590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2025 transaction take-rate compression of ~5bps included ~1.2bps of non-structural FX hedging drag (a ~$210M unfavorable swing from prior-year hedging gains, per FY2025 10-K MD&amp;A); structural mix-driven compression of ~4bps — consistent with the large-merchant pricing mix cited in both the FY2024 and FY2025 filings — is modeled decelerating as enterprise mix matures and low-margin Braintree volume is deliberately shaped.</t>
        </r>
      </text>
    </comment>
    <comment ref="H62" authorId="0" shapeId="0" xr:uid="{5E61FD5C-D157-4C8A-BC7C-8BC16AF2FAA0}">
      <text>
        <r>
          <rPr>
            <b/>
            <sz val="9"/>
            <color indexed="81"/>
            <rFont val="Tahoma"/>
            <family val="2"/>
          </rPr>
          <t>Reduction in EBT for timing differences (pretax). Source: PayPal FY2025 10-K, Note 16 (Income Taxes), p.113 — 2024 deferred portion of income tax expense = $231M, grossed up at the model tax rate (N38).</t>
        </r>
      </text>
    </comment>
    <comment ref="I62" authorId="0" shapeId="0" xr:uid="{5560D8B5-8A04-472C-AC38-B5316BDFF7D6}">
      <text>
        <r>
          <rPr>
            <b/>
            <sz val="9"/>
            <color indexed="81"/>
            <rFont val="Tahoma"/>
            <family val="2"/>
          </rPr>
          <t>Reduction in EBT for timing differences (pretax). Source: PayPal FY2025 10-K, Note 16 (Income Taxes), p.113 — 2025 deferred portion of income tax expense = $217M, grossed up at the model tax rate (N38).</t>
        </r>
      </text>
    </comment>
    <comment ref="H63" authorId="0" shapeId="0" xr:uid="{D70EF929-6839-4338-A6DE-3C5D97D3F91C}">
      <text>
        <r>
          <rPr>
            <b/>
            <sz val="9"/>
            <color indexed="81"/>
            <rFont val="Tahoma"/>
            <family val="2"/>
          </rPr>
          <t>Capitalized research &amp; development deferred tax asset, year-end 2024. Source: PayPal FY2025 10-K, Note 16 (Income Taxes), p.115.</t>
        </r>
      </text>
    </comment>
    <comment ref="I63" authorId="0" shapeId="0" xr:uid="{2C971B28-E2C8-4FFD-8328-1C6CB6518B64}">
      <text>
        <r>
          <rPr>
            <b/>
            <sz val="9"/>
            <color indexed="81"/>
            <rFont val="Tahoma"/>
            <family val="2"/>
          </rPr>
          <t>Capitalized research &amp; development deferred tax asset, year-end 2025. Source: PayPal FY2025 10-K, Note 16 (Income Taxes), p.115. OBBBA (enacted 7/4/2025) restores domestic R&amp;D expensing, accelerating the unwind.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Tyler S</author>
  </authors>
  <commentList>
    <comment ref="F19" authorId="0" shapeId="0" xr:uid="{E8D0092D-7483-4D84-A8A8-6CBDADC04ED2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Total OVAS revenue, FY2024 (disclosed). Source: 2026 10-K MD&amp;A (OVAS), p.36 / FY2024 10-K p.36.</t>
        </r>
      </text>
    </comment>
    <comment ref="G19" authorId="0" shapeId="0" xr:uid="{3CA9A36C-45A5-471E-9A98-CD58F8DF1FB3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Total OVAS revenue, FY2025 (disclosed). Source: 2026 10-K MD&amp;A (OVAS +$419M to $3,374M), p.36.</t>
        </r>
      </text>
    </comment>
    <comment ref="E21" authorId="0" shapeId="0" xr:uid="{AD92ED46-5325-42E5-943B-271E4575F782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Funds receivable and customer accounts, 12/31/2023. Source: FY2024 10-K, Consolidated Balance Sheets, p.58.</t>
        </r>
      </text>
    </comment>
    <comment ref="F21" authorId="0" shapeId="0" xr:uid="{1F860C04-B8F2-4119-AD3F-777D613187C9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Funds receivable and customer accounts (interest-earning base), 12/31/2024. Source: 2026 10-K, Consolidated Balance Sheets, p.58.</t>
        </r>
      </text>
    </comment>
    <comment ref="G21" authorId="0" shapeId="0" xr:uid="{08001B6E-C2ED-4499-ACF5-08A095A7326B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Funds receivable and customer accounts (interest-earning base), 12/31/2025. Source: 2026 10-K, Consolidated Balance Sheets, p.58.</t>
        </r>
      </text>
    </comment>
    <comment ref="E23" authorId="0" shapeId="0" xr:uid="{AEFEDC34-8577-49FE-A13F-F2832E7529CC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Interest on customer balances, FY2023 (DERIVED, approximate): FY2024 disclosed $1,284M less the ~$380M increase in interest on customer balances that the FY2024 10-K MD&amp;A attributes to 2024. Not separately disclosed by PayPal; derived for the historical split.</t>
        </r>
      </text>
    </comment>
    <comment ref="F23" authorId="0" shapeId="0" xr:uid="{7CB20176-7AC2-441C-8555-F5D11306B246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Interest on customer balances, FY2024 (reported within OVAS). Source: PayPal Q4/FY2025 Earnings Release, TM$ ex-interest reconciliation table, p.12. https://s205.q4cdn.com/875401827/files/doc_financials/2025/q4/PYPL-4Q-25-Earnings-Release.pdf</t>
        </r>
      </text>
    </comment>
    <comment ref="G23" authorId="0" shapeId="0" xr:uid="{6C069683-0977-48E0-8153-86CECF700FB1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Interest on customer balances, FY2025 (reported within OVAS). Source: PayPal Q4/FY2025 Earnings Release, TM$ ex-interest reconciliation table, p.12. https://s205.q4cdn.com/875401827/files/doc_financials/2025/q4/PYPL-4Q-25-Earnings-Release.pdf</t>
        </r>
      </text>
    </comment>
    <comment ref="E24" authorId="0" shapeId="0" xr:uid="{CD4D9F8B-9BEE-4A51-8A27-1C499BF5859F}">
      <text>
        <r>
          <rPr>
            <b/>
            <sz val="9"/>
            <color indexed="81"/>
            <rFont val="Tahoma"/>
            <family val="2"/>
          </rPr>
          <t>FY2023 remaining OVAS = total OVAS less derived interest on customer balances (~$904M).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Tyler S</author>
  </authors>
  <commentList>
    <comment ref="G31" authorId="0" shapeId="0" xr:uid="{AEBF583B-0858-4ADE-A7E7-DFAAF4B6D428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Removed from "Accrued expenses and other current liabilities" to reflect the current portion of term debt based on guidance from 10-K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Tyler S</author>
  </authors>
  <commentList>
    <comment ref="E39" authorId="0" shapeId="0" xr:uid="{47511CE1-443A-47E9-A95C-CE0FC91DF7DD}">
      <text>
        <r>
          <rPr>
            <b/>
            <sz val="9"/>
            <color indexed="81"/>
            <rFont val="Tahoma"/>
            <family val="2"/>
          </rPr>
          <t>Risk-free rate (Rf): 10-year U.S. Treasury yield as of the valuation date. Source: U.S. Treasury / market data.</t>
        </r>
      </text>
    </comment>
    <comment ref="E40" authorId="0" shapeId="0" xr:uid="{2B84310E-44D2-4A38-8933-D8688AE12E8D}">
      <text>
        <r>
          <rPr>
            <b/>
            <sz val="9"/>
            <color indexed="81"/>
            <rFont val="Tahoma"/>
            <family val="2"/>
          </rPr>
          <t>Equity beta: PayPal 5-year historical. Source: Yahoo Finance.</t>
        </r>
      </text>
    </comment>
    <comment ref="E41" authorId="0" shapeId="0" xr:uid="{8928AB9C-8A86-4FAC-B804-DDCD2BC30EF9}">
      <text>
        <r>
          <rPr>
            <b/>
            <sz val="9"/>
            <color indexed="81"/>
            <rFont val="Tahoma"/>
            <family val="2"/>
          </rPr>
          <t>Equity risk premium (Rm − Rf): ~5.0% market assumption (e.g., Damodaran implied ERP).</t>
        </r>
      </text>
    </comment>
    <comment ref="E44" authorId="0" shapeId="0" xr:uid="{5AFE29D9-590C-4897-9FDB-62EE8CC3AA5D}">
      <text>
        <r>
          <rPr>
            <b/>
            <sz val="9"/>
            <color indexed="81"/>
            <rFont val="Tahoma"/>
            <family val="2"/>
          </rPr>
          <t>Pre-tax cost of debt: blended market borrowing assumption; PayPal term-debt coupons range ~3.9%–5.25%. Source: FY2025 10-K, term debt detail, p.103.</t>
        </r>
      </text>
    </comment>
    <comment ref="C62" authorId="0" shapeId="0" xr:uid="{52FA1657-3676-493E-9A07-661115F40804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Low perpetuity growth backs into 7.5x exit multiple that the base LBO case models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Wall Street Prep</author>
    <author>Tyler S</author>
  </authors>
  <commentList>
    <comment ref="E10" authorId="0" shapeId="0" xr:uid="{BF069685-8398-45A3-BCF3-64F2BD4A6767}">
      <text>
        <r>
          <rPr>
            <b/>
            <sz val="9"/>
            <color indexed="81"/>
            <rFont val="Tahoma"/>
            <family val="2"/>
          </rPr>
          <t>Primary source for this transaction: Global Payments press release, 4/17/2025 — definitive agreement to acquire Worldpay from GTCR/FIS. https://investors.globalpayments.com/news-events/press-releases/detail/469/global-payments-announces-agreements-to-acquire-worldpay | Completed 1/9/2026.</t>
        </r>
      </text>
    </comment>
    <comment ref="F10" authorId="0" shapeId="0" xr:uid="{AE502A41-1799-4899-A8A3-87B595711118}">
      <text>
        <r>
          <rPr>
            <b/>
            <sz val="9"/>
            <color indexed="81"/>
            <rFont val="Tahoma"/>
            <family val="2"/>
          </rPr>
          <t>Primary source: Shift4/Global Blue deal announcement 2/16/2025 (premium referenced to 2/14/2025 close); Global Blue FY24/25 results 6/4/2025 https://www.globalblue.com/en/about-us/media/fy24-25-financial-results | Tender offer completed 7/3/2025; squeeze-out merger Aug 2025.</t>
        </r>
      </text>
    </comment>
    <comment ref="G10" authorId="1" shapeId="0" xr:uid="{407EA83C-9352-4D73-90FB-B60897C87A91}">
      <text>
        <r>
          <rPr>
            <b/>
            <sz val="9"/>
            <color indexed="81"/>
            <rFont val="Tahoma"/>
            <family val="2"/>
          </rPr>
          <t>Primary source: Advent/Nuvei announcement 4/1/2024; Nuvei Form 6-K https://www.sec.gov/Archives/edgar/data/0001765159/000095010324004743/dp209291_ex9901.htm | Completed 11/15/2024 (take-private under CBCA).</t>
        </r>
      </text>
    </comment>
    <comment ref="H10" authorId="1" shapeId="0" xr:uid="{5722422E-FB76-4FAC-AB5F-C1B770DFE87F}">
      <text>
        <r>
          <rPr>
            <b/>
            <sz val="9"/>
            <color indexed="81"/>
            <rFont val="Tahoma"/>
            <family val="2"/>
          </rPr>
          <t>Primary source: Global Payments/EVO 8-K, 8/1/2022 https://www.sec.gov/Archives/edgar/data/0001123360/000119312522207780/d252042dex991.htm | Completed 3/24/2023 (EVO stockholder approval 10/26/2022).</t>
        </r>
      </text>
    </comment>
    <comment ref="I10" authorId="1" shapeId="0" xr:uid="{248F4DB0-5F05-4997-94EB-269DAC8D2027}">
      <text>
        <r>
          <rPr>
            <b/>
            <sz val="9"/>
            <color indexed="81"/>
            <rFont val="Tahoma"/>
            <family val="2"/>
          </rPr>
          <t>Primary source: Fiserv/First Data joint 8-K press release, 1/16/2019 https://www.sec.gov/Archives/edgar/data/798354/000119312519010301/d680169dex992.htm | Completed 7/29/2019.</t>
        </r>
      </text>
    </comment>
    <comment ref="J10" authorId="1" shapeId="0" xr:uid="{8A97018A-ADE3-4361-B1E2-615A1E045B7B}">
      <text>
        <r>
          <rPr>
            <b/>
            <sz val="9"/>
            <color indexed="81"/>
            <rFont val="Tahoma"/>
            <family val="2"/>
          </rPr>
          <t>Primary source: PayPal press release, 11/20/2019 https://newsroom.paypal-corp.com/2019-11-20-PayPal-to-Acquire-Honey | Completed Jan 2020.</t>
        </r>
      </text>
    </comment>
    <comment ref="F13" authorId="1" shapeId="0" xr:uid="{D0B264EA-246F-4585-B328-702E0C0842D5}">
      <text>
        <r>
          <rPr>
            <b/>
            <sz val="9"/>
            <color indexed="81"/>
            <rFont val="Tahoma"/>
            <family val="2"/>
          </rPr>
          <t>USD per EUR ≈ 1.04 at announcement (Feb 2025); used to convert Global Blue EUR revenue/EBITDA to USD. Source: ECB reference rate, Feb 2025.</t>
        </r>
      </text>
    </comment>
    <comment ref="F19" authorId="0" shapeId="0" xr:uid="{A6084CB7-0ED4-420F-B0DC-183D2C21776E}">
      <text>
        <r>
          <rPr>
            <b/>
            <sz val="9"/>
            <color indexed="81"/>
            <rFont val="Tahoma"/>
            <family val="2"/>
          </rPr>
          <t>$7.50/common share cash (pref A $10.00 / B $11.81). Source: Shift4/Global Blue PR 2/16/2025; SEC 6-K. https://www.sec.gov/Archives/edgar/data/0001799983/000162828025006033/gbpressreleaseacquisitio.htm</t>
        </r>
      </text>
    </comment>
    <comment ref="I19" authorId="0" shapeId="0" xr:uid="{0E794C2D-5118-4CB4-AFF0-61597FB1E681}">
      <text>
        <r>
          <rPr>
            <b/>
            <sz val="9"/>
            <color indexed="81"/>
            <rFont val="Tahoma"/>
            <family val="2"/>
          </rPr>
          <t>Implied from 0.303x exchange ratio × Fiserv close 1/15/2019. Source: Fiserv/First Data 8-K, 1/16/2019.</t>
        </r>
      </text>
    </comment>
    <comment ref="E21" authorId="1" shapeId="0" xr:uid="{A4EC1570-3220-43E1-AE1B-800ED4225B4D}">
      <text>
        <r>
          <rPr>
            <b/>
            <sz val="9"/>
            <color indexed="81"/>
            <rFont val="Tahoma"/>
            <family val="2"/>
          </rPr>
          <t>$600M run-rate cost synergies + ≥$200M revenue synergies over 3 yrs post-close. Source: Global Payments 8-K, 4/17/2025. https://www.sec.gov/Archives/edgar/data/0001123360/000110465925035771/tm2512552d1_ex99-1.htm</t>
        </r>
      </text>
    </comment>
    <comment ref="I21" authorId="1" shapeId="0" xr:uid="{C1119031-08FA-46BA-8BF3-FE718F771112}">
      <text>
        <r>
          <rPr>
            <b/>
            <sz val="9"/>
            <color indexed="81"/>
            <rFont val="Tahoma"/>
            <family val="2"/>
          </rPr>
          <t>~$900M run-rate cost savings + ≥$500M revenue synergies over 5 yrs post-close. Source: Fiserv/First Data PR, 1/16/2019. https://www.sec.gov/Archives/edgar/data/0000798354/000119312519010304/d660232dex992.htm</t>
        </r>
      </text>
    </comment>
    <comment ref="G22" authorId="1" shapeId="0" xr:uid="{3CEB9368-3A72-4640-887A-FEA96625EEF5}">
      <text>
        <r>
          <rPr>
            <b/>
            <sz val="9"/>
            <color indexed="81"/>
            <rFont val="Tahoma"/>
            <family val="2"/>
          </rPr>
          <t>Tyler S: Deal press release:</t>
        </r>
        <r>
          <rPr>
            <sz val="9"/>
            <color indexed="81"/>
            <rFont val="Tahoma"/>
            <family val="2"/>
          </rPr>
          <t xml:space="preserve">
https://www.nuvei.com/posts/nuvei-enters-into-agreement-to-be-taken-private-by-advent-international-alongside-existing-canadian-shareholders-philip-fayer-novacap-and-cdpq-at-a-price-of-us-34-00-per-share</t>
        </r>
      </text>
    </comment>
    <comment ref="F26" authorId="1" shapeId="0" xr:uid="{70973EFE-E00D-414F-AB08-40FA12F66F35}">
      <text>
        <r>
          <rPr>
            <b/>
            <sz val="9"/>
            <color indexed="81"/>
            <rFont val="Tahoma"/>
            <family val="2"/>
          </rPr>
          <t>Unaffected share prices: Investing.com historical.</t>
        </r>
      </text>
    </comment>
    <comment ref="G26" authorId="1" shapeId="0" xr:uid="{B9FF569E-372B-406C-BE22-EF2720580171}">
      <text>
        <r>
          <rPr>
            <b/>
            <sz val="9"/>
            <color indexed="81"/>
            <rFont val="Tahoma"/>
            <family val="2"/>
          </rPr>
          <t>Unaffected share prices: Stockanalysis.com historical.</t>
        </r>
      </text>
    </comment>
    <comment ref="H26" authorId="1" shapeId="0" xr:uid="{AB635398-2EA0-4716-A94B-43AAD3CC2E56}">
      <text>
        <r>
          <rPr>
            <b/>
            <sz val="9"/>
            <color indexed="81"/>
            <rFont val="Tahoma"/>
            <family val="2"/>
          </rPr>
          <t>Unaffected share prices: Investing.com historical.</t>
        </r>
      </text>
    </comment>
    <comment ref="I26" authorId="1" shapeId="0" xr:uid="{BA9E5E1A-C90E-4133-A49E-14FEAF76AF97}">
      <text>
        <r>
          <rPr>
            <b/>
            <sz val="9"/>
            <color indexed="81"/>
            <rFont val="Tahoma"/>
            <family val="2"/>
          </rPr>
          <t>Unaffected share prices: Investing.com historical.</t>
        </r>
      </text>
    </comment>
    <comment ref="J37" authorId="1" shapeId="0" xr:uid="{AE9008FC-27E4-49CD-96C4-1195E6BF0C3F}">
      <text>
        <r>
          <rPr>
            <b/>
            <sz val="9"/>
            <color indexed="81"/>
            <rFont val="Tahoma"/>
            <family val="2"/>
          </rPr>
          <t>~$4B, mostly cash; private target, no material net debt. Source: PayPal PR, 11/20/2019.</t>
        </r>
      </text>
    </comment>
    <comment ref="F41" authorId="1" shapeId="0" xr:uid="{6FA54EE8-33C6-476B-B9BC-2A498639495B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Global Blue FY24/25 results (6/4/2025)</t>
        </r>
      </text>
    </comment>
    <comment ref="G41" authorId="1" shapeId="0" xr:uid="{07B83DF6-6ED5-48B1-BAC0-5A31CE14F6BE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Nuvei FY2023 results</t>
        </r>
      </text>
    </comment>
    <comment ref="H41" authorId="1" shapeId="0" xr:uid="{9132D44D-F8E6-45B4-B852-D456D5B14D02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EVO Q2-2022 results</t>
        </r>
      </text>
    </comment>
    <comment ref="I41" authorId="1" shapeId="0" xr:uid="{AF2C3733-C4CA-40CC-ABE1-6DAB19B5CD01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First Data FY2019 Q2 10-Q results</t>
        </r>
      </text>
    </comment>
    <comment ref="H43" authorId="1" shapeId="0" xr:uid="{9F8A09BD-11FC-4D9E-B536-BB37F9769475}">
      <text>
        <r>
          <rPr>
            <b/>
            <sz val="9"/>
            <color indexed="81"/>
            <rFont val="Tahoma"/>
            <family val="2"/>
          </rPr>
          <t>ST / current portion of debt ~$29.6M at 6/30/2022. Source: EVO Q2-2022 results.</t>
        </r>
      </text>
    </comment>
    <comment ref="G44" authorId="1" shapeId="0" xr:uid="{085E4D49-70EC-4D34-92B1-0B07129E05F7}">
      <text>
        <r>
          <rPr>
            <b/>
            <sz val="9"/>
            <color indexed="81"/>
            <rFont val="Tahoma"/>
            <family val="2"/>
          </rPr>
          <t>Net debt ~$1,090M from disclosed 2.5x leverage × FY2023 adj. EBITDA $437.3M; entered net (gross/cash not itemized). Source: Nuvei FY2023 results.</t>
        </r>
      </text>
    </comment>
    <comment ref="H44" authorId="1" shapeId="0" xr:uid="{87AA185A-3B30-4269-9990-63CD4014CCA1}">
      <text>
        <r>
          <rPr>
            <b/>
            <sz val="9"/>
            <color indexed="81"/>
            <rFont val="Tahoma"/>
            <family val="2"/>
          </rPr>
          <t>Long-term debt ~$602.1M at 6/30/2022. Source: EVO Q2-2022 results.</t>
        </r>
      </text>
    </comment>
    <comment ref="E48" authorId="1" shapeId="0" xr:uid="{7E64BD1C-B73E-42BF-86C0-A323B51D8F06}">
      <text>
        <r>
          <rPr>
            <b/>
            <sz val="9"/>
            <color indexed="81"/>
            <rFont val="Tahoma"/>
            <family val="2"/>
          </rPr>
          <t>Anticipated tax assets. Source: Global Payments PR, 4/17/2025.</t>
        </r>
      </text>
    </comment>
    <comment ref="H48" authorId="1" shapeId="0" xr:uid="{E2B069C6-DC4F-497B-A4A8-1CC32EA396DA}">
      <text>
        <r>
          <rPr>
            <b/>
            <sz val="9"/>
            <color indexed="81"/>
            <rFont val="Tahoma"/>
            <family val="2"/>
          </rPr>
          <t>Available cash ~$132M (leverage-definition, excl. merchant settlement balances). Source: EVO Q2-2022 results.</t>
        </r>
      </text>
    </comment>
    <comment ref="E55" authorId="1" shapeId="0" xr:uid="{42EF998F-51B0-40FC-9702-599BEFD26B6E}">
      <text>
        <r>
          <rPr>
            <b/>
            <sz val="9"/>
            <color indexed="81"/>
            <rFont val="Tahoma"/>
            <family val="2"/>
          </rPr>
          <t>Standalone revenue not disclosed (private carve-out). Reference: FIS reported Worldpay discontinued-ops revenue $403M for Jan-2024. Source: FIS Q1-2024 results.</t>
        </r>
      </text>
    </comment>
    <comment ref="F55" authorId="1" shapeId="0" xr:uid="{3D497892-77DC-4B08-8E3B-5E38D3C19379}">
      <text>
        <r>
          <rPr>
            <b/>
            <sz val="9"/>
            <color indexed="81"/>
            <rFont val="Tahoma"/>
            <family val="2"/>
          </rPr>
          <t>Global Blue FY24/25 (ended 3/31/2025) converted EUR→USD at 1.04 (E13): revenue €507.88M, adj. EBITDA €189.08M, EBIT €134.67M, net profit €93.57M; gross debt €611.5M, cash €123.8M. Source: Global Blue FY24/25 results, 6/4/2025.</t>
        </r>
      </text>
    </comment>
    <comment ref="G55" authorId="1" shapeId="0" xr:uid="{903B5068-2FEC-4755-AC93-3574C7348D2B}">
      <text>
        <r>
          <rPr>
            <b/>
            <sz val="9"/>
            <color indexed="81"/>
            <rFont val="Tahoma"/>
            <family val="2"/>
          </rPr>
          <t>FY2023 revenue US$1,189.9M (+41% YoY). Source: Nuvei FY2023 results (Form 6-K). https://www.sec.gov/Archives/edgar/data/0001765159/000176515924000006/a2023_q4xpressrelease.htm</t>
        </r>
      </text>
    </comment>
    <comment ref="H55" authorId="1" shapeId="0" xr:uid="{89860815-21BA-40A8-8B81-3C590C85F145}">
      <text>
        <r>
          <rPr>
            <b/>
            <sz val="9"/>
            <color indexed="81"/>
            <rFont val="Tahoma"/>
            <family val="2"/>
          </rPr>
          <t>FY2022 revenue guidance midpoint ~$555M (range $550–560M; FY2021 actual $496.6M). Source: EVO FY2022 guidance / Q1-2022 results.</t>
        </r>
      </text>
    </comment>
    <comment ref="I55" authorId="1" shapeId="0" xr:uid="{F526F8C0-EC8D-4B7C-B959-16C872863341}">
      <text>
        <r>
          <rPr>
            <b/>
            <sz val="9"/>
            <color indexed="81"/>
            <rFont val="Tahoma"/>
            <family val="2"/>
          </rPr>
          <t>LTM revenue (TTM ended 6/30/2019) = H1'19 + FY2018 − H1'18. Source: First Data FY2018 10-K &amp; FY2018/2019 Q2 10-Qs.</t>
        </r>
      </text>
    </comment>
    <comment ref="J55" authorId="1" shapeId="0" xr:uid="{8BE122D7-9186-4DE8-A19C-E8D39BCC5A1B}">
      <text>
        <r>
          <rPr>
            <b/>
            <sz val="9"/>
            <color indexed="81"/>
            <rFont val="Tahoma"/>
            <family val="2"/>
          </rPr>
          <t>FY2018 revenue &gt;$100M, &gt;100% YoY, profitable; ~$200M 2019 run-rate. Approximate. Source: PayPal mgmt call, 11/20/2019.</t>
        </r>
      </text>
    </comment>
    <comment ref="G56" authorId="1" shapeId="0" xr:uid="{3AEDD46C-9DBB-4CA6-A7D3-52775C7F8CA0}">
      <text>
        <r>
          <rPr>
            <b/>
            <sz val="9"/>
            <color indexed="81"/>
            <rFont val="Tahoma"/>
            <family val="2"/>
          </rPr>
          <t>Gross profit = revenue $1,189.9M − cost of revenue $222.9M = $967.0M. Source: Nuvei FY2023 Form 6-K.</t>
        </r>
      </text>
    </comment>
    <comment ref="H56" authorId="1" shapeId="0" xr:uid="{9F7BD859-B3E0-496E-9336-133EBA2A8443}">
      <text>
        <r>
          <rPr>
            <b/>
            <sz val="9"/>
            <color indexed="81"/>
            <rFont val="Tahoma"/>
            <family val="2"/>
          </rPr>
          <t>Gross profit = revenue $543.1M − cost of services/products $89.4M = $453.7M. Source: EVO Payments FY2022 10-K.</t>
        </r>
      </text>
    </comment>
    <comment ref="I56" authorId="1" shapeId="0" xr:uid="{1F039097-0646-4E2C-BBFE-B8657BC648E3}">
      <text>
        <r>
          <rPr>
            <b/>
            <sz val="9"/>
            <color indexed="81"/>
            <rFont val="Tahoma"/>
            <family val="2"/>
          </rPr>
          <t>LTM gross profit (TTM 6/30/2019), reimbursables netted: H1'19 2,899 + FY2018 5,674 − H1'18 2,798 = 5,775. Source: First Data 10-K p.59 &amp; Q2 10-Qs.</t>
        </r>
      </text>
    </comment>
    <comment ref="E57" authorId="1" shapeId="0" xr:uid="{62A41BFC-C6C5-4B55-A46C-F02D6C1E4C23}">
      <text>
        <r>
          <rPr>
            <b/>
            <sz val="9"/>
            <color indexed="81"/>
            <rFont val="Tahoma"/>
            <family val="2"/>
          </rPr>
          <t>Implied adj. EBITDA (net, incl. run-rate synergies): net purchase price $22,700M ÷ 8.5x disclosed multiple. Source: Global Payments PR, 4/17/2025.</t>
        </r>
      </text>
    </comment>
    <comment ref="G57" authorId="1" shapeId="0" xr:uid="{1493C82B-0266-486D-985F-442CC8929415}">
      <text>
        <r>
          <rPr>
            <b/>
            <sz val="9"/>
            <color indexed="81"/>
            <rFont val="Tahoma"/>
            <family val="2"/>
          </rPr>
          <t>FY2023 Adjusted EBITDA US$437.3M (margin 36.8%). Source: Nuvei FY2023 results (Form 6-K).</t>
        </r>
      </text>
    </comment>
    <comment ref="H57" authorId="1" shapeId="0" xr:uid="{25724870-A39A-4460-9B1C-AE48873D9143}">
      <text>
        <r>
          <rPr>
            <b/>
            <sz val="9"/>
            <color indexed="81"/>
            <rFont val="Tahoma"/>
            <family val="2"/>
          </rPr>
          <t>FY2022 adjusted EBITDA guidance midpoint ~$203M (range $202–205M; margin ~36.6%). Source: EVO FY2022 guidance. Note: EV/EBITDA here is on standalone (pre-synergy) adj. EBITDA — reads rich (~20x).</t>
        </r>
      </text>
    </comment>
    <comment ref="I57" authorId="1" shapeId="0" xr:uid="{56EA13B1-6EE4-4B72-82CE-868236909D0C}">
      <text>
        <r>
          <rPr>
            <b/>
            <sz val="9"/>
            <color indexed="81"/>
            <rFont val="Tahoma"/>
            <family val="2"/>
          </rPr>
          <t>LTM segment EBITDA (TTM 6/30/2019) = H1'19 1,647 + FY2018 3,264 − H1'18 1,594 = 3,317 (non-GAAP Segment EBITDA). Source: First Data Q2-2019 10-Q &amp; FY2018 10-K Note 8.</t>
        </r>
      </text>
    </comment>
    <comment ref="H58" authorId="1" shapeId="0" xr:uid="{63037F3A-F954-45CD-92D9-1313762AA8ED}">
      <text>
        <r>
          <rPr>
            <b/>
            <sz val="9"/>
            <color indexed="81"/>
            <rFont val="Tahoma"/>
            <family val="2"/>
          </rPr>
          <t>FY2022 operating income ~$67M; EBIT not used due to Up-C/NCI structure.</t>
        </r>
      </text>
    </comment>
    <comment ref="G59" authorId="1" shapeId="0" xr:uid="{956B2DA4-1E98-4282-B35E-4432D9665BFD}">
      <text>
        <r>
          <rPr>
            <b/>
            <sz val="9"/>
            <color indexed="81"/>
            <rFont val="Tahoma"/>
            <family val="2"/>
          </rPr>
          <t>FY2023 net loss US$(0.7)M (driven by ~$103M higher finance cost from Paya-acquisition debt). Adjusted net income was $247.9M. Source: Nuvei FY2023 results.</t>
        </r>
      </text>
    </comment>
    <comment ref="H59" authorId="1" shapeId="0" xr:uid="{683861BA-979A-44D2-A7DE-E77B7F931D65}">
      <text>
        <r>
          <rPr>
            <b/>
            <sz val="9"/>
            <color indexed="81"/>
            <rFont val="Tahoma"/>
            <family val="2"/>
          </rPr>
          <t>FY2022 GAAP net income ~$20M (Up-C structure; guidance was $47–54M). P/E not meaningful at the consolidated level.</t>
        </r>
      </text>
    </comment>
    <comment ref="J63" authorId="1" shapeId="0" xr:uid="{8EA2067D-8345-4C27-A328-8C8A5A9CBF96}">
      <text>
        <r>
          <rPr>
            <b/>
            <sz val="9"/>
            <color indexed="81"/>
            <rFont val="Tahoma"/>
            <family val="2"/>
          </rPr>
          <t>~40x on FY2018 revenue &gt;$100M (~20x on ~$200M run-rate); strategic tech deal, not a payments-multiple comp.</t>
        </r>
      </text>
    </comment>
    <comment ref="G65" authorId="1" shapeId="0" xr:uid="{2FB5FFFD-D466-4849-A0D3-2D2D14442759}">
      <text>
        <r>
          <rPr>
            <b/>
            <sz val="9"/>
            <color indexed="81"/>
            <rFont val="Tahoma"/>
            <family val="2"/>
          </rPr>
          <t>The sponsor-LBO entry multiple.</t>
        </r>
      </text>
    </comment>
    <comment ref="H65" authorId="1" shapeId="0" xr:uid="{13FD7759-9446-4651-BA71-46F74DCD02A1}">
      <text>
        <r>
          <rPr>
            <b/>
            <sz val="9"/>
            <color indexed="81"/>
            <rFont val="Tahoma"/>
            <family val="2"/>
          </rPr>
          <t>On standalone (pre-synergy) adj. EBITDA — reads rich.</t>
        </r>
      </text>
    </comment>
    <comment ref="H66" authorId="1" shapeId="0" xr:uid="{8EBC39E3-E0D2-4CC5-BEBD-69C625E5FA83}">
      <text>
        <r>
          <rPr>
            <b/>
            <sz val="9"/>
            <color indexed="81"/>
            <rFont val="Tahoma"/>
            <family val="2"/>
          </rPr>
          <t>EBIT not used (Up-C / NCI structure).</t>
        </r>
      </text>
    </comment>
    <comment ref="F70" authorId="1" shapeId="0" xr:uid="{1311C888-2FB3-44B4-B675-62B45501E982}">
      <text>
        <r>
          <rPr>
            <b/>
            <sz val="9"/>
            <color indexed="81"/>
            <rFont val="Tahoma"/>
            <family val="2"/>
          </rPr>
          <t>FY24/25 revenue +20.2% YoY. Source: Global Blue FY24/25 results, 6/4/2025.</t>
        </r>
      </text>
    </comment>
    <comment ref="G70" authorId="1" shapeId="0" xr:uid="{2B7F93BD-DF39-45BE-A906-5A1DB4F0C637}">
      <text>
        <r>
          <rPr>
            <b/>
            <sz val="9"/>
            <color indexed="81"/>
            <rFont val="Tahoma"/>
            <family val="2"/>
          </rPr>
          <t>FY2023 revenue growth +41.09% YoY. Source: Nuvei FY2023 results.</t>
        </r>
      </text>
    </comment>
    <comment ref="H70" authorId="1" shapeId="0" xr:uid="{4823DC1E-D5B0-4E67-A502-74C3B208CC65}">
      <text>
        <r>
          <rPr>
            <b/>
            <sz val="9"/>
            <color indexed="81"/>
            <rFont val="Tahoma"/>
            <family val="2"/>
          </rPr>
          <t>FY22 Revenue Growth</t>
        </r>
      </text>
    </comment>
    <comment ref="I70" authorId="1" shapeId="0" xr:uid="{4056CC3A-4B39-430E-9E55-6768953BA2E9}">
      <text>
        <r>
          <rPr>
            <b/>
            <sz val="9"/>
            <color indexed="81"/>
            <rFont val="Tahoma"/>
            <family val="2"/>
          </rPr>
          <t>FY2018 total segment revenue $8,657M vs FY2017 $8,065M. Source: First Data FY2018 10-K.</t>
        </r>
      </text>
    </comment>
    <comment ref="J70" authorId="1" shapeId="0" xr:uid="{9468CEBE-15DA-45F8-91B8-6B513B9BCE35}">
      <text>
        <r>
          <rPr>
            <b/>
            <sz val="9"/>
            <color indexed="81"/>
            <rFont val="Tahoma"/>
            <family val="2"/>
          </rPr>
          <t>Growing &gt;100% YoY (FY2018, PayPal mgmt); shown as a floor. Approximate.</t>
        </r>
      </text>
    </comment>
    <comment ref="E74" authorId="1" shapeId="0" xr:uid="{6F29DC87-3166-46B6-9D78-8A9843EA05C1}">
      <text>
        <r>
          <rPr>
            <b/>
            <sz val="9"/>
            <color indexed="81"/>
            <rFont val="Tahoma"/>
            <family val="2"/>
          </rPr>
          <t>Excludes Honey as an outlier.</t>
        </r>
      </text>
    </comment>
    <comment ref="H74" authorId="1" shapeId="0" xr:uid="{43F955E0-48A9-47F3-94AD-882626E54F03}">
      <text>
        <r>
          <rPr>
            <b/>
            <sz val="9"/>
            <color indexed="81"/>
            <rFont val="Tahoma"/>
            <family val="2"/>
          </rPr>
          <t>Excludes Nuvei and EVO as outliers.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Tyler S</author>
  </authors>
  <commentList>
    <comment ref="E11" authorId="0" shapeId="0" xr:uid="{B144D368-4475-4B16-A2AE-DA7C037CEF2B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Current portion of long term debt + long term debt from FY25</t>
        </r>
      </text>
    </comment>
    <comment ref="E12" authorId="0" shapeId="0" xr:uid="{93F492D7-39B9-418D-965A-98E119030F1D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From FY25 BS</t>
        </r>
      </text>
    </comment>
    <comment ref="E13" authorId="0" shapeId="0" xr:uid="{28F3A92A-3A2C-4839-A9C0-B47041082AB6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Minimum cash of $1,000M reflects a corporate operating floor only and excludes customer funds (Funds Receivable/Funds Payable), which are modeled separately as a matched, pass-through balance and are not available for debt service or the cash sweep. The floor is sized to support day-to-day operating liquidity (~3% of FY25 revenue) and is conservative relative to PayPal's scale. It does not currently assume a haircut for cash that may be trapped at licensed money-transmitter subsidiaries subject to state net-worth requirements (see 10-K pp. 10, 44)</t>
        </r>
      </text>
    </comment>
    <comment ref="D38" authorId="0" shapeId="0" xr:uid="{25111FEC-31C9-4798-AEF7-14EBFE64FC7F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At ~$59.1B in total consideration and ~$30.4B of new debt issuance (Term Loan A, Term Loan B, and senior secured/unsecured notes), this transaction would rank among the largest leveraged buyouts on record and exceeds what any single sponsor or arranger has historically underwritten. Execution would presume a consortium of financial sponsors, broad syndication across the term loan B and high-yield markets, and a constructive financing window. The model demonstrates the standalone economics and credit capacity of the capital structure; it does not represent a view on syndication certainty or market capacity to absorb financing of this scale.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Tyler S</author>
  </authors>
  <commentList>
    <comment ref="H20" authorId="0" shapeId="0" xr:uid="{CDE049E7-1E5F-464E-B522-F79FA05102B0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Net interest expense incl. amortization of capitalized financing fees (LBO Debt Schedule row 61, 57.7/yr). Deductible, so flows through EBT to tax.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Tyler S</author>
  </authors>
  <commentList>
    <comment ref="H18" authorId="0" shapeId="0" xr:uid="{4FFCF963-BC04-4B43-9512-3D39F2112BE1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Goodwill created = Equity Purchase Price (LBO!D35, buyout of equity) less Net Identifiable Assets Acquired (2025 book equity J46 less existing goodwill J19 written off). No asset write-ups assumed. Held flat across projection.</t>
        </r>
      </text>
    </comment>
    <comment ref="G31" authorId="0" shapeId="0" xr:uid="{E0220FEF-04CF-457E-9AB3-3AB483014AEE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Removed from "Accrued expenses and other current liabilities" to reflect the current portion of term debt based on guidance from 10-K</t>
        </r>
      </text>
    </comment>
    <comment ref="H42" authorId="0" shapeId="0" xr:uid="{B88DE148-DE8C-48F3-866F-C1C3991C5DDD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Retained earnings = Year-1 net income less one-time transaction fees expensed at close (LBO!H51 = 964.7, advisory/legal). Charged in full to opening equity; carried forward in accumulated RE via L43=K43+NI.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Tyler S</author>
  </authors>
  <commentList>
    <comment ref="H9" authorId="0" shapeId="0" xr:uid="{3AC02810-BE8B-41FF-AA25-DBCAEE44E2CF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D&amp;A plus non-cash amortization of capitalized financing fees (added back; the amort reduced NI but is non-cash).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Tyler S</author>
  </authors>
  <commentList>
    <comment ref="H72" authorId="0" shapeId="0" xr:uid="{C4D65EBD-C6A6-4053-83EE-D4DC0E65F9D4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Spot SOFR held flat for next 5 years
</t>
        </r>
      </text>
    </comment>
  </commentList>
</comments>
</file>

<file path=xl/sharedStrings.xml><?xml version="1.0" encoding="utf-8"?>
<sst xmlns="http://schemas.openxmlformats.org/spreadsheetml/2006/main" count="1055" uniqueCount="634">
  <si>
    <t>OFF</t>
  </si>
  <si>
    <t xml:space="preserve">Fiscal year  </t>
  </si>
  <si>
    <t>Revenue</t>
  </si>
  <si>
    <t>Gross Profit</t>
  </si>
  <si>
    <t>Interest income</t>
  </si>
  <si>
    <t>Diluted shares outstanding</t>
  </si>
  <si>
    <t>Tax rate</t>
  </si>
  <si>
    <t>EBITDA</t>
  </si>
  <si>
    <t>% growth</t>
  </si>
  <si>
    <t>Revolver</t>
  </si>
  <si>
    <t>Net debt</t>
  </si>
  <si>
    <t>Increases / (decreases)</t>
  </si>
  <si>
    <t>Capital expenditures</t>
  </si>
  <si>
    <t>Maximum availability</t>
  </si>
  <si>
    <t>Compliance check</t>
  </si>
  <si>
    <t>Less: Minimum cash desired</t>
  </si>
  <si>
    <t>Equals: Excess cash at BOP</t>
  </si>
  <si>
    <t>Plus: Free cash flows generated during period</t>
  </si>
  <si>
    <t>Cash</t>
  </si>
  <si>
    <t>Interest rate on cash</t>
  </si>
  <si>
    <t>EBIT</t>
  </si>
  <si>
    <t>Terminal year EBITDA</t>
  </si>
  <si>
    <t>Present value of terminal value</t>
  </si>
  <si>
    <t>Present value of stage 1 cash flows</t>
  </si>
  <si>
    <t>Equity value per share</t>
  </si>
  <si>
    <t>Cost of debt</t>
  </si>
  <si>
    <t>Net diluted shares outstanding</t>
  </si>
  <si>
    <t>Perpetuity</t>
  </si>
  <si>
    <t>Enterprise value</t>
  </si>
  <si>
    <t>Implied TV exit EBITDA multiple</t>
  </si>
  <si>
    <t>LTM EBITDA</t>
  </si>
  <si>
    <t>Offer value</t>
  </si>
  <si>
    <t>Buyout of equity</t>
  </si>
  <si>
    <t>Excess cash</t>
  </si>
  <si>
    <t>Refinancing of oldco debt</t>
  </si>
  <si>
    <t>Sponsor equity</t>
  </si>
  <si>
    <t>Total Uses</t>
  </si>
  <si>
    <t>Amortization</t>
  </si>
  <si>
    <t>Changes in net working capital</t>
  </si>
  <si>
    <t>Mandatory amortization $</t>
  </si>
  <si>
    <t>Term Loan A</t>
  </si>
  <si>
    <t>Term Loan B</t>
  </si>
  <si>
    <t>Term Loan A, BOP</t>
  </si>
  <si>
    <t>Term Loan B, BOP</t>
  </si>
  <si>
    <t>Term Loan B, EOP</t>
  </si>
  <si>
    <t>Term Loan A, EOP</t>
  </si>
  <si>
    <t>Mandatory paydown $</t>
  </si>
  <si>
    <t>Cash sweep (paydown from excess cash flows)</t>
  </si>
  <si>
    <t>Cash, BOP</t>
  </si>
  <si>
    <t>Cash, EOP</t>
  </si>
  <si>
    <t>Revolver, BOP</t>
  </si>
  <si>
    <t>Revolver, EOP</t>
  </si>
  <si>
    <t xml:space="preserve">Cash, BOP </t>
  </si>
  <si>
    <t>Cash available (needed) to paydown (draw from) revolver</t>
  </si>
  <si>
    <t>IRR</t>
  </si>
  <si>
    <t>Preferred stock</t>
  </si>
  <si>
    <t>Mandatory paydown (% of original)</t>
  </si>
  <si>
    <t>EV / LTM EBITDA</t>
  </si>
  <si>
    <t>Offer value / per share</t>
  </si>
  <si>
    <t>% Premium / discount</t>
  </si>
  <si>
    <t>Initial</t>
  </si>
  <si>
    <t>EBITDA turns</t>
  </si>
  <si>
    <t>$ investment</t>
  </si>
  <si>
    <t>Total Sources</t>
  </si>
  <si>
    <t>Cash available for cash sweep</t>
  </si>
  <si>
    <t>Equity</t>
  </si>
  <si>
    <t>Plus: Cash (latest filing)</t>
  </si>
  <si>
    <t>Less: Gross Debt (latest filing)</t>
  </si>
  <si>
    <t>EV / LTM EBITDA multiple at exit</t>
  </si>
  <si>
    <t>Total Assets</t>
  </si>
  <si>
    <t>Total Liabilities</t>
  </si>
  <si>
    <t>Financing fees</t>
  </si>
  <si>
    <t>Term</t>
  </si>
  <si>
    <t>% fees</t>
  </si>
  <si>
    <t>Capitalized financing fees</t>
  </si>
  <si>
    <t>Fee amort / year</t>
  </si>
  <si>
    <t>Capitalized financing fees, BOP</t>
  </si>
  <si>
    <t>Capitalized financing fees, EOP</t>
  </si>
  <si>
    <t>EBITDA (LTM)</t>
  </si>
  <si>
    <t>Minimum cash desired</t>
  </si>
  <si>
    <t>FEES</t>
  </si>
  <si>
    <t>% of offer value</t>
  </si>
  <si>
    <t>Fee</t>
  </si>
  <si>
    <t>Trans. fees</t>
  </si>
  <si>
    <t>Fees (transaction &amp; financing)</t>
  </si>
  <si>
    <t>Gross Debt (input as a -)</t>
  </si>
  <si>
    <t>Goodwill</t>
  </si>
  <si>
    <t>PayPal</t>
  </si>
  <si>
    <t>Leveraged Buyout Model</t>
  </si>
  <si>
    <t>By: Tyler Spencer</t>
  </si>
  <si>
    <t xml:space="preserve">Summary Outputs </t>
  </si>
  <si>
    <t>Inputs and Assumptions</t>
  </si>
  <si>
    <t>Income Statement</t>
  </si>
  <si>
    <t>($ Millions)</t>
  </si>
  <si>
    <t>Projected</t>
  </si>
  <si>
    <t>Net Revenue</t>
  </si>
  <si>
    <t>EBT</t>
  </si>
  <si>
    <t>Net Income</t>
  </si>
  <si>
    <t>Transaction Expense</t>
  </si>
  <si>
    <t>Transaction and Credit Losses</t>
  </si>
  <si>
    <t>Customer Support and Operations</t>
  </si>
  <si>
    <t>Sales and Marketing</t>
  </si>
  <si>
    <t>Technology and Development</t>
  </si>
  <si>
    <t>General and Administrative</t>
  </si>
  <si>
    <t>Restructuring and Other</t>
  </si>
  <si>
    <t>Other Income (expense), net</t>
  </si>
  <si>
    <t>Income Tax Expense</t>
  </si>
  <si>
    <t>EBITDA Margin</t>
  </si>
  <si>
    <t>EBIT Margin</t>
  </si>
  <si>
    <t>Return on Equity</t>
  </si>
  <si>
    <t>Gross Profit Margin</t>
  </si>
  <si>
    <t>Balance Sheet</t>
  </si>
  <si>
    <t>Total Current Assets</t>
  </si>
  <si>
    <t>Total Long Term Assets</t>
  </si>
  <si>
    <t>Accounts Payable</t>
  </si>
  <si>
    <t>Total Current Liabilities</t>
  </si>
  <si>
    <t>Total Long Term Liabilities</t>
  </si>
  <si>
    <t>Retained Earnings</t>
  </si>
  <si>
    <t>Shareholder's Equity</t>
  </si>
  <si>
    <t>Total Liabilities and Equity</t>
  </si>
  <si>
    <t>Check</t>
  </si>
  <si>
    <t>Accounts Receivable, Net</t>
  </si>
  <si>
    <t>Inventory and Interest Receivable, Held for Sale</t>
  </si>
  <si>
    <t>Loans and Interest Receivable, Net of Allowances</t>
  </si>
  <si>
    <t>Funds Receivable and Customer Accounts</t>
  </si>
  <si>
    <t>Prepaid Expenses and Other Current Assets</t>
  </si>
  <si>
    <t>Long-Term Investments</t>
  </si>
  <si>
    <t>Intangible Assets, Net</t>
  </si>
  <si>
    <t>Other Assets</t>
  </si>
  <si>
    <t>Funds Payable to Customers</t>
  </si>
  <si>
    <t>Accrued Expenses and Other Current Liabilities</t>
  </si>
  <si>
    <t>Other Long-Term Liabilities</t>
  </si>
  <si>
    <t>Long-Term Debt</t>
  </si>
  <si>
    <t xml:space="preserve">Treasury Stock </t>
  </si>
  <si>
    <t>Additional Paid-In-Capital</t>
  </si>
  <si>
    <t>Accumulated Other Comprhensive Income (Loss)</t>
  </si>
  <si>
    <t>Cash Flow Statement</t>
  </si>
  <si>
    <t>Operating Activities</t>
  </si>
  <si>
    <t>Depreciation &amp; Amortization</t>
  </si>
  <si>
    <t>Operating Cash Flow</t>
  </si>
  <si>
    <t>Investing Activities</t>
  </si>
  <si>
    <t>Investing Cash Flow</t>
  </si>
  <si>
    <t>Financing Activities</t>
  </si>
  <si>
    <t>Financing Cash Flow</t>
  </si>
  <si>
    <t>Change in the Cash Position</t>
  </si>
  <si>
    <t>Beginning Cash</t>
  </si>
  <si>
    <t>Ending Cash</t>
  </si>
  <si>
    <t>Stock Based Compensation</t>
  </si>
  <si>
    <t>Adjustments to Loans and Interest Receivable, Held for Sale</t>
  </si>
  <si>
    <t xml:space="preserve">Accounts Receivable </t>
  </si>
  <si>
    <t>Other Current Assest and Non-Current Assets</t>
  </si>
  <si>
    <t>Other Current Liabilities and Non-Current Liabilities</t>
  </si>
  <si>
    <t>Purchases of Property and Equipment</t>
  </si>
  <si>
    <t>Purchases of treasury stock</t>
  </si>
  <si>
    <t>Repayments under financing arrangements</t>
  </si>
  <si>
    <t>Property, Plant, &amp; Equipment</t>
  </si>
  <si>
    <t>Beginning of Period</t>
  </si>
  <si>
    <t>Plus: Capital Expenditure</t>
  </si>
  <si>
    <t>Less: Depreciation</t>
  </si>
  <si>
    <t>End of Period</t>
  </si>
  <si>
    <t>Non-Cash Additions/ Other</t>
  </si>
  <si>
    <t>Intangible Assets</t>
  </si>
  <si>
    <t>Less: Amortization</t>
  </si>
  <si>
    <t>Other/Non-Cash</t>
  </si>
  <si>
    <t>Total D&amp;A</t>
  </si>
  <si>
    <t>Income Tax Schedule</t>
  </si>
  <si>
    <t>Tax Rate</t>
  </si>
  <si>
    <t xml:space="preserve">Accounting EBT (as is on I/S)   </t>
  </si>
  <si>
    <t>A</t>
  </si>
  <si>
    <t>Government EBT</t>
  </si>
  <si>
    <t>B</t>
  </si>
  <si>
    <t>Taxes as Appearing on Income Statement</t>
  </si>
  <si>
    <t>Increase (Decrease) in Deferred Income Taxes</t>
  </si>
  <si>
    <t>Total Income Taxes (Same as Accounting Taxes Above)</t>
  </si>
  <si>
    <t>Debt and Interest Schedule</t>
  </si>
  <si>
    <t>Amount Outstanding - Beginning</t>
  </si>
  <si>
    <t>Change in Cash</t>
  </si>
  <si>
    <t>Amount Outstanding - Ending</t>
  </si>
  <si>
    <t>Interest Rate</t>
  </si>
  <si>
    <t>Annual Interest Income</t>
  </si>
  <si>
    <t>Mandatory Debt Repayments</t>
  </si>
  <si>
    <t>Common Stock Issuance / (Buy-back)</t>
  </si>
  <si>
    <t>Dividends</t>
  </si>
  <si>
    <t>FCF After Mandatory Debt Repayment and Dividend</t>
  </si>
  <si>
    <t>Revolver Outstanding - Beginning</t>
  </si>
  <si>
    <t>Additions / (Repayments)</t>
  </si>
  <si>
    <t>Revolver Outstanding - Ending</t>
  </si>
  <si>
    <t>Annual Interest Expense</t>
  </si>
  <si>
    <t>GENERAL</t>
  </si>
  <si>
    <t>EQUITY</t>
  </si>
  <si>
    <t>-</t>
  </si>
  <si>
    <t>First year of forecast in financial model:</t>
  </si>
  <si>
    <t>Pricing Case</t>
  </si>
  <si>
    <t>Base Case</t>
  </si>
  <si>
    <t>Research Forecast</t>
  </si>
  <si>
    <t>Best Case</t>
  </si>
  <si>
    <t xml:space="preserve"> </t>
  </si>
  <si>
    <t>Worst Case</t>
  </si>
  <si>
    <t>COSTS</t>
  </si>
  <si>
    <t>INTEREST RATES</t>
  </si>
  <si>
    <t>Interest earned on Cash balances:</t>
  </si>
  <si>
    <t>Interest rate on Bank Revolver:</t>
  </si>
  <si>
    <t>Interest rate on Senior Secured Term Debt:</t>
  </si>
  <si>
    <t>TAXES</t>
  </si>
  <si>
    <t>Tax rate assumed in the model:</t>
  </si>
  <si>
    <t>REVENUE DRIVERS</t>
  </si>
  <si>
    <t>SCENARIO CASES</t>
  </si>
  <si>
    <t>Revenue Growth Rate</t>
  </si>
  <si>
    <t>Driver</t>
  </si>
  <si>
    <t>% of TPV</t>
  </si>
  <si>
    <t>%</t>
  </si>
  <si>
    <t>Transaction Expenses</t>
  </si>
  <si>
    <t>Transaction &amp; Credit Losses</t>
  </si>
  <si>
    <t>Customer Support &amp; Operations</t>
  </si>
  <si>
    <t>Technology &amp; Developlment Growth</t>
  </si>
  <si>
    <t>Sales &amp; Marketing</t>
  </si>
  <si>
    <t>General &amp; Administrative</t>
  </si>
  <si>
    <t>Stock-based compensation</t>
  </si>
  <si>
    <t>% of rev</t>
  </si>
  <si>
    <t>Capex &amp; D&amp;A</t>
  </si>
  <si>
    <t>Capital Expenditures</t>
  </si>
  <si>
    <t>D&amp;A</t>
  </si>
  <si>
    <t>% of capex</t>
  </si>
  <si>
    <t>Growth Rates &amp; Margins</t>
  </si>
  <si>
    <t>Property and Equipment, Net</t>
  </si>
  <si>
    <t>Net Interest Expense</t>
  </si>
  <si>
    <t>Term Debt</t>
  </si>
  <si>
    <t>Debt Repayment</t>
  </si>
  <si>
    <t>Year</t>
  </si>
  <si>
    <t>Current Portion of Term Debt</t>
  </si>
  <si>
    <t xml:space="preserve">Equity Schedule </t>
  </si>
  <si>
    <t>Common Shares</t>
  </si>
  <si>
    <t>New Issuance / (Buy-Back)</t>
  </si>
  <si>
    <t>Common Dividend</t>
  </si>
  <si>
    <t>Shares Outstanding 1/28/26 (in MM)</t>
  </si>
  <si>
    <t>Adjusted EBITDA</t>
  </si>
  <si>
    <t>LTM Average Share Price</t>
  </si>
  <si>
    <t>Net Float &amp; Financing , Forecast</t>
  </si>
  <si>
    <t xml:space="preserve">Net Loan &amp; Investment Forecast </t>
  </si>
  <si>
    <t>Cash &amp; Equivalents</t>
  </si>
  <si>
    <t>Dividend Per Share</t>
  </si>
  <si>
    <t>Dividend/ Share</t>
  </si>
  <si>
    <t>Common Dividends</t>
  </si>
  <si>
    <t>Earnings Per Share</t>
  </si>
  <si>
    <t>Basic Shares</t>
  </si>
  <si>
    <t>Basic EPS</t>
  </si>
  <si>
    <t>Diluted Shares</t>
  </si>
  <si>
    <t>Diluted EPS</t>
  </si>
  <si>
    <t>$ amount of shares repurchased</t>
  </si>
  <si>
    <t>$ amount of new shares issued</t>
  </si>
  <si>
    <t>Target P/E</t>
  </si>
  <si>
    <t>Avg price (share count only)</t>
  </si>
  <si>
    <t>Discounted Cash Flow Analysis</t>
  </si>
  <si>
    <t>Initial Valuation</t>
  </si>
  <si>
    <t>Valuation Approach</t>
  </si>
  <si>
    <t>Approach 1</t>
  </si>
  <si>
    <t>EBITDA Multiple</t>
  </si>
  <si>
    <t>Approach 2</t>
  </si>
  <si>
    <t>Offer/Share Price</t>
  </si>
  <si>
    <t>Most recent fiscal year end</t>
  </si>
  <si>
    <t>Discount rate (WACC)</t>
  </si>
  <si>
    <t>End of first fiscal year</t>
  </si>
  <si>
    <t xml:space="preserve">Share price </t>
  </si>
  <si>
    <t>Most recent quarter end date</t>
  </si>
  <si>
    <t>Share price date</t>
  </si>
  <si>
    <t xml:space="preserve">Valuation date </t>
  </si>
  <si>
    <t>Midyear adjustment?</t>
  </si>
  <si>
    <t>Portion of First Year Cash Flows</t>
  </si>
  <si>
    <t>Unlevered Free Cash Flows</t>
  </si>
  <si>
    <t>% margin</t>
  </si>
  <si>
    <t>Tax on EBIT</t>
  </si>
  <si>
    <t>NOPAT (aka EBIAT)</t>
  </si>
  <si>
    <t>Depreciation &amp; amortization</t>
  </si>
  <si>
    <t>as % of revenue</t>
  </si>
  <si>
    <t>Unlevered free cash flows (UFCF)</t>
  </si>
  <si>
    <t>Net working capital (WC Assets - WC liabilities)</t>
  </si>
  <si>
    <t>Weighted Average Cost of Capital</t>
  </si>
  <si>
    <t>Equity Beta</t>
  </si>
  <si>
    <t>Percentage of Capital</t>
  </si>
  <si>
    <t>Debt</t>
  </si>
  <si>
    <t>Total capital</t>
  </si>
  <si>
    <t>Val date</t>
  </si>
  <si>
    <t xml:space="preserve">Yr 1 - Stub </t>
  </si>
  <si>
    <t>Year 2</t>
  </si>
  <si>
    <t>Year 3</t>
  </si>
  <si>
    <t>Year 4</t>
  </si>
  <si>
    <t>Year 5</t>
  </si>
  <si>
    <t>Date for discounting cash flows</t>
  </si>
  <si>
    <t>Unlevered free cash flows (UFCF) stub adjusted</t>
  </si>
  <si>
    <t>Present value of of unlevered free cash flows</t>
  </si>
  <si>
    <t>Terminal value - growth in perpetuity approach</t>
  </si>
  <si>
    <t>Terminal value - EBITDA multiple approach</t>
  </si>
  <si>
    <t>Long term growth rate</t>
  </si>
  <si>
    <t>EBITDA multiple</t>
  </si>
  <si>
    <t>Total enterprise value (TEV)</t>
  </si>
  <si>
    <t>Enterprise value (stage 1 + 2)</t>
  </si>
  <si>
    <t>Terminal value as % of TEV</t>
  </si>
  <si>
    <t>Stage 1 cash flows as % of TEV</t>
  </si>
  <si>
    <t>Cash flows as % of TEV</t>
  </si>
  <si>
    <t>Source doc</t>
  </si>
  <si>
    <t>Source date</t>
  </si>
  <si>
    <t>Gross debt and equivalents</t>
  </si>
  <si>
    <t>Convertible debt</t>
  </si>
  <si>
    <t>Noncontrolling (minority) interests</t>
  </si>
  <si>
    <t>Nonoperating assets</t>
  </si>
  <si>
    <t xml:space="preserve">Cash </t>
  </si>
  <si>
    <t>Valuation</t>
  </si>
  <si>
    <t xml:space="preserve">Equity value </t>
  </si>
  <si>
    <t>Shares outstanding</t>
  </si>
  <si>
    <t>Last Twelve Months (LTM)</t>
  </si>
  <si>
    <t>EV / Revenue</t>
  </si>
  <si>
    <t xml:space="preserve">EV / EBITDA </t>
  </si>
  <si>
    <t>EV / EBIT</t>
  </si>
  <si>
    <t>Year 1</t>
  </si>
  <si>
    <t>Year Ended</t>
  </si>
  <si>
    <t>Revenue Build</t>
  </si>
  <si>
    <t>Revenue by Service</t>
  </si>
  <si>
    <t>Transaction Revenue</t>
  </si>
  <si>
    <t xml:space="preserve">Total </t>
  </si>
  <si>
    <t xml:space="preserve">Transaction Revenue </t>
  </si>
  <si>
    <t>Take rate</t>
  </si>
  <si>
    <t>Other Value-Added Services</t>
  </si>
  <si>
    <t xml:space="preserve">Total Payment Volume (TPV) </t>
  </si>
  <si>
    <t>Total Payment Volume Growth</t>
  </si>
  <si>
    <t>Take Rate Compression</t>
  </si>
  <si>
    <t>Other Value-Added Services Growth</t>
  </si>
  <si>
    <t>Scenario Switch</t>
  </si>
  <si>
    <t>Total Payment Volume (TPV)</t>
  </si>
  <si>
    <t xml:space="preserve">Less: Reduction in EBT for timing differences </t>
  </si>
  <si>
    <t>Trend</t>
  </si>
  <si>
    <t>Income Statement Items</t>
  </si>
  <si>
    <t xml:space="preserve">   Growth</t>
  </si>
  <si>
    <t xml:space="preserve">   Margin</t>
  </si>
  <si>
    <t>Scenario Analysis</t>
  </si>
  <si>
    <t>PayPal 10-K 2026</t>
  </si>
  <si>
    <t>Transaction Assumptions</t>
  </si>
  <si>
    <t>Uses of Funds</t>
  </si>
  <si>
    <t>Sources of Funds</t>
  </si>
  <si>
    <t>Latest Share Price Date</t>
  </si>
  <si>
    <t>Latest Share Price</t>
  </si>
  <si>
    <t>Senior Unsecured</t>
  </si>
  <si>
    <t>Senior Secured</t>
  </si>
  <si>
    <t>Interest Expense</t>
  </si>
  <si>
    <t>LBO Debt Schedule</t>
  </si>
  <si>
    <t>SOFR Spread</t>
  </si>
  <si>
    <t>SOFR floor</t>
  </si>
  <si>
    <t>Circuit Breaker</t>
  </si>
  <si>
    <t>Median Fed Funds Rate (SOFR Proxy)</t>
  </si>
  <si>
    <t>Repayments Under Financing Arrangements</t>
  </si>
  <si>
    <t>Change in the Cash Position (Pre- Cash Sweep)</t>
  </si>
  <si>
    <t>Change in the Cash Position (Post- Cash Sweep)</t>
  </si>
  <si>
    <t>Discretionary Term A Paydown</t>
  </si>
  <si>
    <t>Discretionary Term B Paydown</t>
  </si>
  <si>
    <t>Less: Cash Sweep</t>
  </si>
  <si>
    <t>Exit Valuation</t>
  </si>
  <si>
    <t>Assumed Exit December 31, 2030</t>
  </si>
  <si>
    <t>EBITDA Multiple at Exit</t>
  </si>
  <si>
    <t>EBITDA at Exit</t>
  </si>
  <si>
    <t>Enterprise Value</t>
  </si>
  <si>
    <t>Net Debt</t>
  </si>
  <si>
    <t>Equity Value</t>
  </si>
  <si>
    <t>LBO Returns</t>
  </si>
  <si>
    <t>Pro Forma Cash Flow Statement</t>
  </si>
  <si>
    <t>Pro Forma Income Statement</t>
  </si>
  <si>
    <t>Sponsor's Equity at exit EBITDA multiple of:</t>
  </si>
  <si>
    <t>Actual</t>
  </si>
  <si>
    <t>Offer Price / Share At Various Sponsor Hurdle Rates</t>
  </si>
  <si>
    <t>Sponsor Hurdle Rate (Minimum IRR)</t>
  </si>
  <si>
    <t>EV / LTM EBITDA multiple</t>
  </si>
  <si>
    <t>Sensitivity Analysis</t>
  </si>
  <si>
    <t>Senior Secured, BOP</t>
  </si>
  <si>
    <t>Senior Unsecured, BOP</t>
  </si>
  <si>
    <t>Senior Unsecured, EOP</t>
  </si>
  <si>
    <t>Senior Secured, EOP</t>
  </si>
  <si>
    <t>Coupon</t>
  </si>
  <si>
    <t>Senior Unsecured Note</t>
  </si>
  <si>
    <t>Senior Secured Note</t>
  </si>
  <si>
    <t>Coupon Payment</t>
  </si>
  <si>
    <t>Outstanding RSU's</t>
  </si>
  <si>
    <t>Pro Forma Balance Sheet</t>
  </si>
  <si>
    <t>Implied long term growth rate</t>
  </si>
  <si>
    <t>Total Long Term Debt</t>
  </si>
  <si>
    <t>Common Equity</t>
  </si>
  <si>
    <t>Entry Equity</t>
  </si>
  <si>
    <t>Exit Equity</t>
  </si>
  <si>
    <t>Component</t>
  </si>
  <si>
    <t>$mm</t>
  </si>
  <si>
    <t>Change in EBITDA</t>
  </si>
  <si>
    <t>Change in Multiple</t>
  </si>
  <si>
    <t>Debt Paydown</t>
  </si>
  <si>
    <t>Total Debt</t>
  </si>
  <si>
    <t>Gross Leverage</t>
  </si>
  <si>
    <t>Net Leverage</t>
  </si>
  <si>
    <t>Interest Coverage</t>
  </si>
  <si>
    <t>LBO Credit Statistics</t>
  </si>
  <si>
    <t>EV</t>
  </si>
  <si>
    <t>Equity value/  share</t>
  </si>
  <si>
    <t xml:space="preserve">Three scenarios have been used for Total Payment Volume (TPV), </t>
  </si>
  <si>
    <t xml:space="preserve">Take Rate Compression, Other Value Added Services, Transaction </t>
  </si>
  <si>
    <t xml:space="preserve">Expense, Transaction and Credit Losses, and Technology and </t>
  </si>
  <si>
    <t>Development</t>
  </si>
  <si>
    <t>The Total Payment Volume cases are as follows:</t>
  </si>
  <si>
    <t>Working Capital Schedule</t>
  </si>
  <si>
    <t>Days per Year</t>
  </si>
  <si>
    <t>Cost of Sales</t>
  </si>
  <si>
    <t>Days In</t>
  </si>
  <si>
    <t>Accounts Receivable</t>
  </si>
  <si>
    <t>Prepaid Expenses</t>
  </si>
  <si>
    <t>Other Liabilities</t>
  </si>
  <si>
    <t>Account Balances</t>
  </si>
  <si>
    <t>Net Working Capital</t>
  </si>
  <si>
    <t>Change in Working Capital</t>
  </si>
  <si>
    <t>MM</t>
  </si>
  <si>
    <t>days</t>
  </si>
  <si>
    <t>Working Capital Days</t>
  </si>
  <si>
    <t>Reduction in EBT for timing differences</t>
  </si>
  <si>
    <t>Income Tax</t>
  </si>
  <si>
    <t>OTHER ASSUMPTIONS</t>
  </si>
  <si>
    <t>Capitalized R&amp;D DTA, year-end</t>
  </si>
  <si>
    <t>Annual reversal rate (% of prior-year DTA)</t>
  </si>
  <si>
    <t>Annual DTA reversal</t>
  </si>
  <si>
    <t>Equity Value Per Share</t>
  </si>
  <si>
    <t>Year 1 EBITDA Multiple</t>
  </si>
  <si>
    <t>Long Term Growth Rate</t>
  </si>
  <si>
    <t>WACC</t>
  </si>
  <si>
    <t>Exit EBITDA Multiple</t>
  </si>
  <si>
    <t>Low</t>
  </si>
  <si>
    <t>Diff.</t>
  </si>
  <si>
    <t>High</t>
  </si>
  <si>
    <t>52 Week Market High/Low</t>
  </si>
  <si>
    <t>Stock Price Date</t>
  </si>
  <si>
    <t>Most Recent Stock Price</t>
  </si>
  <si>
    <t>Comps Analysis</t>
  </si>
  <si>
    <t>Enterprise Value Multiples</t>
  </si>
  <si>
    <t xml:space="preserve">Diluted Shares </t>
  </si>
  <si>
    <t xml:space="preserve">EBITDA </t>
  </si>
  <si>
    <t>EV / EBITDA</t>
  </si>
  <si>
    <t>Market</t>
  </si>
  <si>
    <t>Enterprise</t>
  </si>
  <si>
    <t xml:space="preserve">  Enterprise Value / Revenue</t>
  </si>
  <si>
    <t xml:space="preserve">  Enterprise Value / EBITDA</t>
  </si>
  <si>
    <t>Company</t>
  </si>
  <si>
    <t>Value</t>
  </si>
  <si>
    <t>LTM</t>
  </si>
  <si>
    <t xml:space="preserve">High </t>
  </si>
  <si>
    <t xml:space="preserve">Mean </t>
  </si>
  <si>
    <t xml:space="preserve">Median </t>
  </si>
  <si>
    <t xml:space="preserve">Low </t>
  </si>
  <si>
    <t>Block</t>
  </si>
  <si>
    <t>Adyen</t>
  </si>
  <si>
    <t>Fiserv</t>
  </si>
  <si>
    <t>Global Payments</t>
  </si>
  <si>
    <t>Shift4</t>
  </si>
  <si>
    <t>Source: Koyfin</t>
  </si>
  <si>
    <t xml:space="preserve">Fidelity National Information Services </t>
  </si>
  <si>
    <t>Custodial Float</t>
  </si>
  <si>
    <t>Net Float</t>
  </si>
  <si>
    <t>LBO Exit Multiple</t>
  </si>
  <si>
    <t>Customer funds balance growth:</t>
  </si>
  <si>
    <t>Precedent Transactions</t>
  </si>
  <si>
    <t xml:space="preserve">Target </t>
  </si>
  <si>
    <t>---</t>
  </si>
  <si>
    <t>Acquirer</t>
  </si>
  <si>
    <t>Announcement date</t>
  </si>
  <si>
    <t>Deal status</t>
  </si>
  <si>
    <t>Completed</t>
  </si>
  <si>
    <t xml:space="preserve">Target currency </t>
  </si>
  <si>
    <t>USD</t>
  </si>
  <si>
    <t>Form of consideration</t>
  </si>
  <si>
    <t>Offer price per share</t>
  </si>
  <si>
    <t>% of target acquired</t>
  </si>
  <si>
    <t>Annouced synergies (mm's)</t>
  </si>
  <si>
    <t>Comments</t>
  </si>
  <si>
    <t>Unaffected target share price - 1 day prior</t>
  </si>
  <si>
    <t>Unaffected target share price - 1 week prior</t>
  </si>
  <si>
    <t>Unaffected target share price - 1 month prior</t>
  </si>
  <si>
    <t>Premium paid  - 1 day prior</t>
  </si>
  <si>
    <t>Premium paid  - 1 week prior</t>
  </si>
  <si>
    <t>Premium paid  - 1 month prior</t>
  </si>
  <si>
    <t>Worldpay</t>
  </si>
  <si>
    <t>Global Blue</t>
  </si>
  <si>
    <t>N/A</t>
  </si>
  <si>
    <t>EV/ Revenue</t>
  </si>
  <si>
    <t>Honey</t>
  </si>
  <si>
    <t>First Data</t>
  </si>
  <si>
    <t>Stock</t>
  </si>
  <si>
    <t>EUR</t>
  </si>
  <si>
    <t>ND</t>
  </si>
  <si>
    <t>Buyer type</t>
  </si>
  <si>
    <t>Strategic</t>
  </si>
  <si>
    <t>EBITDA margin</t>
  </si>
  <si>
    <t>Revenue growth (YoY)</t>
  </si>
  <si>
    <t>Nuvei</t>
  </si>
  <si>
    <t>Advent International</t>
  </si>
  <si>
    <t>EVO Payments</t>
  </si>
  <si>
    <t>Offer value (purchase price)</t>
  </si>
  <si>
    <t>Override</t>
  </si>
  <si>
    <t>Total offer value (purchase price)</t>
  </si>
  <si>
    <t>Period ending</t>
  </si>
  <si>
    <t>ST debt (incl. current portion of LT debt)</t>
  </si>
  <si>
    <t>LT debt</t>
  </si>
  <si>
    <t>Noncontrolling interests</t>
  </si>
  <si>
    <t>Gross debt</t>
  </si>
  <si>
    <t>Less: Cash &amp; Cash equivalents</t>
  </si>
  <si>
    <t>Transaction Value</t>
  </si>
  <si>
    <t>Total OVAS Revenue</t>
  </si>
  <si>
    <t xml:space="preserve">   Effective yield</t>
  </si>
  <si>
    <t xml:space="preserve">Customer funds balance </t>
  </si>
  <si>
    <t xml:space="preserve">Interest on customer balances </t>
  </si>
  <si>
    <t>Remaining OVAS, ex-interest</t>
  </si>
  <si>
    <t>Other Value-Added Services, ex-interest</t>
  </si>
  <si>
    <t>Worldpay / Global Payments  —  announced 4/17/2025, completed 1/9/2026</t>
  </si>
  <si>
    <t>Global Blue / Shift4  —  announced 2/16/2025, completed 7/3/2025</t>
  </si>
  <si>
    <t>Nuvei / Advent International (financial-sponsor LBO)  —  announced 4/1/2024, completed 11/15/2024</t>
  </si>
  <si>
    <t>EVO Payments / Global Payments  —  announced 8/1/2022, completed 3/24/2023</t>
  </si>
  <si>
    <t>Block (Square) / Afterpay  —  announced 8/1/2021, completed 1/31/2022</t>
  </si>
  <si>
    <t>First Data / Fiserv  —  announced 1/16/2019, completed 7/29/2019</t>
  </si>
  <si>
    <t>Honey / PayPal  —  announced 11/20/2019, completed Jan 2020</t>
  </si>
  <si>
    <t>Global Payments press release — agreements to acquire Worldpay (4/17/2025)</t>
  </si>
  <si>
    <t>SEC 8-K (EX-99.1) — deal terms; $600M cost / $200M revenue synergies</t>
  </si>
  <si>
    <t>Global Payments — Worldpay transaction page (completion 1/9/2026)</t>
  </si>
  <si>
    <t>FIS Q1-2024 results — Worldpay discontinued-ops revenue / EBITDA reference</t>
  </si>
  <si>
    <t>Shift4 press release — agreement to acquire Global Blue ($7.50/sh, 15% premium, ~$2.5B EV)</t>
  </si>
  <si>
    <t>SEC 6-K — Global Blue deal terms (common + Series A/B preferred)</t>
  </si>
  <si>
    <t>Global Blue FY24/25 results (6/4/2025) — revenue €508M, adj. EBITDA €202M, net debt €487.7M</t>
  </si>
  <si>
    <t>Shift4 — completion of Global Blue acquisition (7/3/2025)</t>
  </si>
  <si>
    <t>Nuvei SEC 6-K (EX-99.1) — take-private by Advent ($34.00/sh, 56% premium, ~$6.3B EV)</t>
  </si>
  <si>
    <t>Advent International press release — Nuvei take-private terms / rollover</t>
  </si>
  <si>
    <t>Nuvei FY2023 results (6-K) — revenue $1,189.9M, adj. EBITDA $437.3M, leverage 2.5x</t>
  </si>
  <si>
    <t>Nuvei SEC 6-K — completion of arrangement (11/15/2024)</t>
  </si>
  <si>
    <t>SEC 8-K (EX-99.1) — Global Payments to acquire EVO ($34.00/sh, 24% premium, $4.0B EV)</t>
  </si>
  <si>
    <t>EVO Q2-2022 results — balance sheet / leverage (6/30/2022)</t>
  </si>
  <si>
    <t>EVO FY2021 results &amp; FY2022 guidance — revenue ~$555M, adj. EBITDA ~$203M</t>
  </si>
  <si>
    <t>Square SEC 8-K (EX-99.2) — plans to acquire Afterpay (~$29B, 30.6% premium, all-stock)</t>
  </si>
  <si>
    <t>Block / Square press release — Afterpay announcement (8/1/2021)</t>
  </si>
  <si>
    <t>Block press release — completion of Afterpay acquisition (1/31/2022)</t>
  </si>
  <si>
    <t>Fiserv / First Data SEC 8-K (EX-99.2) — deal terms ($22B equity, 0.303x, 29% premium)</t>
  </si>
  <si>
    <t>SEC Form 425 — $900M cost / $500M revenue synergies</t>
  </si>
  <si>
    <t>First Data FY2018 Form 10-K — segment revenue $8,657M, EBITDA $3,264M, D&amp;A $976M, NI $1,005M</t>
  </si>
  <si>
    <t>First Data Q4 &amp; FY2018 results — net debt $16,914M (12/31/2018)</t>
  </si>
  <si>
    <t>PayPal press release — agreement to acquire Honey (~$4B)</t>
  </si>
  <si>
    <t>TechCrunch (news) — '$4 billion, mostly cash' consideration detail</t>
  </si>
  <si>
    <t>Fortune (news) — Honey FY2018 revenue &gt;$100M / &gt;100% growth (PayPal-disclosed)</t>
  </si>
  <si>
    <t>Capitalized Financing Fees, Net</t>
  </si>
  <si>
    <t>EV / Gross Profit</t>
  </si>
  <si>
    <t>Mean</t>
  </si>
  <si>
    <t>Median</t>
  </si>
  <si>
    <t>EV/ Gross Profit</t>
  </si>
  <si>
    <t>Interest Income (Expense)</t>
  </si>
  <si>
    <t>Revenue Growth</t>
  </si>
  <si>
    <t>MOIC</t>
  </si>
  <si>
    <t>10-K FY 2025 p. 105</t>
  </si>
  <si>
    <t xml:space="preserve">from regulated subsidiaries are feasible; actual sweepable cash may </t>
  </si>
  <si>
    <t xml:space="preserve">be lower due to money-transmitter licensing requirements at </t>
  </si>
  <si>
    <t xml:space="preserve">Minimum cash of $1,000M assumes upstream distributions </t>
  </si>
  <si>
    <t>PayPal, Inc. (FY2025 10-K pp. 10, 44).</t>
  </si>
  <si>
    <t>LTM EV/EBITDA</t>
  </si>
  <si>
    <t>Implied EV</t>
  </si>
  <si>
    <t>Difference</t>
  </si>
  <si>
    <t>Diluted Shares Outstanding</t>
  </si>
  <si>
    <t>Net Debt (From DCF)</t>
  </si>
  <si>
    <t>Implied Equity Value/ Share</t>
  </si>
  <si>
    <t>Median Enterprise Value</t>
  </si>
  <si>
    <t>Mean Enterprise Value</t>
  </si>
  <si>
    <t>Implied Valuation</t>
  </si>
  <si>
    <t>Methodology</t>
  </si>
  <si>
    <t>DCF</t>
  </si>
  <si>
    <t>Precedents</t>
  </si>
  <si>
    <t>Comparables</t>
  </si>
  <si>
    <t>LBO</t>
  </si>
  <si>
    <t>RETURNS BY SCENARIO</t>
  </si>
  <si>
    <t>Scenario</t>
  </si>
  <si>
    <t>Best Case (Bull)</t>
  </si>
  <si>
    <t>Worst Case (Bear)</t>
  </si>
  <si>
    <t>Investment Thesis</t>
  </si>
  <si>
    <t>VALUATION SUMMARY</t>
  </si>
  <si>
    <t>LBO EQUITY VALUE CREATION</t>
  </si>
  <si>
    <t>DCF VALUATION</t>
  </si>
  <si>
    <t>Accounts Receivable (days)</t>
  </si>
  <si>
    <t>Prepaid Expenses (days)</t>
  </si>
  <si>
    <t>Accounts Payable (days)</t>
  </si>
  <si>
    <t>Other Liabilities (days)</t>
  </si>
  <si>
    <t>PP&amp;E related D&amp;A as % of capex</t>
  </si>
  <si>
    <t>Technology &amp; Development Growth</t>
  </si>
  <si>
    <t>Take Rate Compression Year 1</t>
  </si>
  <si>
    <t>Yield on customer balances:</t>
  </si>
  <si>
    <r>
      <t>Risk free rate (R</t>
    </r>
    <r>
      <rPr>
        <vertAlign val="subscript"/>
        <sz val="10"/>
        <rFont val="Arial"/>
        <family val="2"/>
      </rPr>
      <t>f</t>
    </r>
    <r>
      <rPr>
        <sz val="10"/>
        <color theme="1"/>
        <rFont val="Arial"/>
        <family val="2"/>
      </rPr>
      <t>)</t>
    </r>
  </si>
  <si>
    <r>
      <t>Equity risk premium (R</t>
    </r>
    <r>
      <rPr>
        <vertAlign val="subscript"/>
        <sz val="10"/>
        <rFont val="Arial"/>
        <family val="2"/>
      </rPr>
      <t>m</t>
    </r>
    <r>
      <rPr>
        <sz val="10"/>
        <color theme="1"/>
        <rFont val="Arial"/>
        <family val="2"/>
      </rPr>
      <t xml:space="preserve"> - R</t>
    </r>
    <r>
      <rPr>
        <vertAlign val="subscript"/>
        <sz val="10"/>
        <rFont val="Arial"/>
        <family val="2"/>
      </rPr>
      <t>f</t>
    </r>
    <r>
      <rPr>
        <sz val="10"/>
        <color theme="1"/>
        <rFont val="Arial"/>
        <family val="2"/>
      </rPr>
      <t>)</t>
    </r>
  </si>
  <si>
    <r>
      <t>Cost of Equity (K</t>
    </r>
    <r>
      <rPr>
        <vertAlign val="subscript"/>
        <sz val="10"/>
        <color theme="1"/>
        <rFont val="Arial"/>
        <family val="2"/>
      </rPr>
      <t>e</t>
    </r>
    <r>
      <rPr>
        <sz val="10"/>
        <color theme="1"/>
        <rFont val="Arial"/>
        <family val="2"/>
      </rPr>
      <t>)</t>
    </r>
  </si>
  <si>
    <r>
      <t>After-tax Cost of Debt (K</t>
    </r>
    <r>
      <rPr>
        <vertAlign val="subscript"/>
        <sz val="10"/>
        <color theme="1"/>
        <rFont val="Arial"/>
        <family val="2"/>
      </rPr>
      <t>dt</t>
    </r>
    <r>
      <rPr>
        <sz val="10"/>
        <color theme="1"/>
        <rFont val="Arial"/>
        <family val="2"/>
      </rPr>
      <t>)</t>
    </r>
  </si>
  <si>
    <t>All-stock (0.303 Fiserv sh per FDC sh), tax-free to FDC holders; disclosed equity value ~$22B.</t>
  </si>
  <si>
    <t>Strategic tuck-in; private target, no per-share offer or synergy target disclosed; ~$4B mostly cash.</t>
  </si>
  <si>
    <t>Financial-sponsor take-private (Advent) deal, EV 6.3B</t>
  </si>
  <si>
    <t>Strategic merchant-acquiring consolidation; all-cash $34.00/share, EV 4B</t>
  </si>
  <si>
    <t>EUR financials; USD-listed shares &amp; $7.50 offer; EV $2,500M</t>
  </si>
  <si>
    <t>Priced on EV basis (no public shares/net debt); buyer synergies embedded in multiple.</t>
  </si>
  <si>
    <t>Circuit Breaker &amp; Other</t>
  </si>
  <si>
    <t>LTM Revenue</t>
  </si>
  <si>
    <t>Financial Sponsor</t>
  </si>
  <si>
    <t>VALUATION</t>
  </si>
  <si>
    <t>Comparable Companies</t>
  </si>
  <si>
    <t>Less: Fees</t>
  </si>
  <si>
    <t>LBO Range</t>
  </si>
  <si>
    <t>Credit Analysis</t>
  </si>
  <si>
    <t>PayPal (Target) — Company Financials &amp; Market Data</t>
  </si>
  <si>
    <t>Comparable Companies (Comps)</t>
  </si>
  <si>
    <t>Valuation Inputs — DCF (WACC &amp; Terminal Value)</t>
  </si>
  <si>
    <t>Risk-free rate (4.37%) — U.S. 10-Year Treasury yield (U.S. Department of the Treasury)</t>
  </si>
  <si>
    <t>Equity beta (1.34) — Koyfin</t>
  </si>
  <si>
    <t>Equity risk premium (5.0%) — model assumption (long-run U.S. equity premium)</t>
  </si>
  <si>
    <t>Sources</t>
  </si>
  <si>
    <t xml:space="preserve">Supports: revenue, TPV, customer-funds balances &amp; yields, EBITDA, balance sheet, capex, D&amp;A and working-capital inputs </t>
  </si>
  <si>
    <t>Used across: the Revenue Build, IS, BS, CFS, Assumptions, DCF and LBO tabs</t>
  </si>
  <si>
    <t>PayPal (NASDAQ: PYPL) — share price $45.47 and 52-week range $38.46–$79.50, as of 7/1/2026 (Koyfin)</t>
  </si>
  <si>
    <t xml:space="preserve">PayPal  FY2025 Form 10-K (SEC EDGAR, period ended 12/31/2025) </t>
  </si>
  <si>
    <t xml:space="preserve">Koyfin — market value, enterprise value, revenue and EBITDA for Block, Adyen, Fiserv, Global Payments, </t>
  </si>
  <si>
    <t>Fidelity National Information Services (FIS) and Shift4, as of 7/1/2026</t>
  </si>
  <si>
    <t>Key information: debt maturity / repayment schedule (p. 105);</t>
  </si>
  <si>
    <t xml:space="preserve"> minimum-cash &amp; money-transmitter licensing constraints (pp. 10, 44); diluted shares outstanding (cover page, as of 1/28/2026)</t>
  </si>
  <si>
    <t xml:space="preserve">Primary sources (company SEC / regulatory filings and press releases) except where noted; market data via Koyfin. Precedent-transaction sources are also attached as </t>
  </si>
  <si>
    <t>comments on the relevant cells in the Precedents tab.</t>
  </si>
  <si>
    <t>52 Wk Range</t>
  </si>
  <si>
    <t>Assets</t>
  </si>
  <si>
    <t>Liabilities and Equity</t>
  </si>
  <si>
    <t>Financing Component</t>
  </si>
  <si>
    <t>Cash &amp; Debt</t>
  </si>
  <si>
    <t>General Transaction Information</t>
  </si>
  <si>
    <t>Transaction Terms</t>
  </si>
  <si>
    <t>Premiums Paid</t>
  </si>
  <si>
    <t>Calculation of Offer &amp; Transaction Value</t>
  </si>
  <si>
    <t>LTM Financial Metrics</t>
  </si>
  <si>
    <t>Transaction Multiples</t>
  </si>
  <si>
    <t>Additional Metrics</t>
  </si>
  <si>
    <t>Summary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</si>
</sst>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7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\A;[Red]0\A"/>
    <numFmt numFmtId="165" formatCode="0\P_);\(0\P\)"/>
    <numFmt numFmtId="166" formatCode="m/d/yy;@"/>
    <numFmt numFmtId="167" formatCode="0.0%"/>
    <numFmt numFmtId="168" formatCode="&quot;$&quot;#,##0.0_);\(&quot;$&quot;#,##0.0\)"/>
    <numFmt numFmtId="169" formatCode="#,##0.000_);\(#,##0.000\)"/>
    <numFmt numFmtId="170" formatCode="#,##0.00_);\(#,##0\)"/>
    <numFmt numFmtId="171" formatCode="#,##0.0%_);\(#,##0.0%\)"/>
    <numFmt numFmtId="172" formatCode="0.0\ \x"/>
    <numFmt numFmtId="173" formatCode="#,##0.00\ ;\(#,##0.00\)"/>
    <numFmt numFmtId="174" formatCode="&quot;$&quot;#,##0.00\ ;\(&quot;$&quot;#,##0.00\)"/>
    <numFmt numFmtId="175" formatCode="0.0%_);\(0.0%\)"/>
    <numFmt numFmtId="176" formatCode="0.000\ \x&quot;rate&quot;"/>
    <numFmt numFmtId="177" formatCode="#,##0.000_);[Red]\(#,##0.000\)"/>
    <numFmt numFmtId="178" formatCode="0.00_);\(0.00\);0.00"/>
    <numFmt numFmtId="179" formatCode="\C&quot;$&quot;#,##0.00_);[Red]\(&quot;$&quot;#,##0.00\)"/>
    <numFmt numFmtId="180" formatCode="#,##0%_);\(#,##0.0%\)"/>
    <numFmt numFmtId="181" formatCode="_(* #,##0.00000000_);_(* \(#,##0.00000000\);_(* &quot;-&quot;?_);_(@_)"/>
    <numFmt numFmtId="182" formatCode="mmm\-d\-yyyy"/>
    <numFmt numFmtId="183" formatCode="mmm\-yyyy"/>
    <numFmt numFmtId="184" formatCode="yyyy"/>
    <numFmt numFmtId="185" formatCode="0.00\x&quot;rate&quot;"/>
    <numFmt numFmtId="186" formatCode="0.0&quot;  &quot;"/>
    <numFmt numFmtId="187" formatCode="&quot;$&quot;#,##0.0\ ;[Red]\(&quot;$&quot;#,##0\)"/>
    <numFmt numFmtId="188" formatCode="_(&quot;$&quot;* #,##0.00_);_(&quot;$&quot;* \(#,##0.00\);_(&quot;$&quot;* &quot;-&quot;?_);_(@_)"/>
    <numFmt numFmtId="189" formatCode="&quot;$&quot;#,##0.000_);[Red]\(&quot;$&quot;#,##0.000\)"/>
    <numFmt numFmtId="190" formatCode="&quot;$&quot;#,##0.00&quot;A&quot;;[Red]\(&quot;$&quot;#,##0.00\)&quot;A&quot;"/>
    <numFmt numFmtId="191" formatCode="#,##0.0\ ;[Red]\(&quot;$&quot;#,##0\)"/>
    <numFmt numFmtId="192" formatCode="&quot;$&quot;#,##0.00&quot;E&quot;;[Red]\(&quot;$&quot;#,##0.00\)&quot;E&quot;"/>
    <numFmt numFmtId="193" formatCode="_([$€-2]* #,##0.00_);_([$€-2]* \(#,##0.00\);_([$€-2]* &quot;-&quot;??_)"/>
    <numFmt numFmtId="194" formatCode="#,##0.00;\(#,##0.00\)"/>
    <numFmt numFmtId="195" formatCode=".%\,\(0.0%%;\t"/>
    <numFmt numFmtId="196" formatCode="#,##0.0_);[Red]\(#,##0.0\)"/>
    <numFmt numFmtId="197" formatCode="0.0%_);[Red]\(0.0%\)"/>
    <numFmt numFmtId="198" formatCode="0.00_);\(0.00\);0.00_)"/>
    <numFmt numFmtId="199" formatCode="#,##0\x"/>
    <numFmt numFmtId="200" formatCode="&quot;TKR&quot;\ 0"/>
    <numFmt numFmtId="201" formatCode=".%\,\(0.%%;\t"/>
    <numFmt numFmtId="202" formatCode="&quot;$&quot;#,###.0\ \ "/>
    <numFmt numFmtId="203" formatCode="#,##0.00\x_);[Red]\(#,##0.00\x\)"/>
    <numFmt numFmtId="204" formatCode="#,##0.0_);\(#,##0.0\)"/>
    <numFmt numFmtId="205" formatCode="#,##0.00\x_);[Red]\(#,##0.00\x\);&quot;--  &quot;"/>
    <numFmt numFmtId="206" formatCode="_(* #,##0.0_);_(* \(#,##0.0\);_(* &quot;-&quot;??_);_(@_)"/>
    <numFmt numFmtId="207" formatCode="0.0\x_);[Red]\(0.0\x\)"/>
    <numFmt numFmtId="208" formatCode="0.0\ "/>
    <numFmt numFmtId="209" formatCode="&quot;$&quot;#,##0.0;\(&quot;$&quot;#,##0.00\)"/>
    <numFmt numFmtId="210" formatCode="#,##0.00%_);\(#,##0.00%\)"/>
    <numFmt numFmtId="211" formatCode="0.00\%;\-0.00\%;0.00\%"/>
    <numFmt numFmtId="212" formatCode="0.0%\ ;\(0.0%\)"/>
    <numFmt numFmtId="213" formatCode="_(&quot;$&quot;* #,##0_);_(&quot;$&quot;* \(#,##0\);_(&quot;$&quot;* &quot;-&quot;??_);_(@_)"/>
    <numFmt numFmtId="214" formatCode="&quot;$&quot;0.00\ "/>
    <numFmt numFmtId="215" formatCode="0.0\ \ \ \ \ "/>
    <numFmt numFmtId="216" formatCode="0.00\x;\-0.00\x;0.00\x"/>
    <numFmt numFmtId="217" formatCode="&quot;$&quot;#,##0.000_);\(&quot;$&quot;#,##0.000\)"/>
    <numFmt numFmtId="218" formatCode="#,##0.0_);\(#,##0.0\);_(* &quot;-&quot;_)"/>
    <numFmt numFmtId="219" formatCode="_(&quot;$&quot;* #,##0.00_);_(&quot;$&quot;* \(#,##0.00\);_(* &quot;-&quot;_);_(@_)"/>
    <numFmt numFmtId="220" formatCode="0.00%_);[Red]\(0.00%\)"/>
    <numFmt numFmtId="221" formatCode="#,##0.0\x_);\(#,##0.0\x\)"/>
    <numFmt numFmtId="222" formatCode="#,##0.00\x_);\(#,##0.00\x\)"/>
    <numFmt numFmtId="223" formatCode="###0&quot;E&quot;_)"/>
    <numFmt numFmtId="224" formatCode="&quot;Approach&quot;\ 0"/>
    <numFmt numFmtId="225" formatCode="0\ &quot;yrs&quot;"/>
    <numFmt numFmtId="226" formatCode="0\A"/>
    <numFmt numFmtId="227" formatCode="0.000%"/>
    <numFmt numFmtId="228" formatCode="_(* #,##0_);_(* \(#,##0\);_(* &quot;-&quot;??_);_(@_)"/>
    <numFmt numFmtId="229" formatCode="0.0%;\(0.0%\)"/>
    <numFmt numFmtId="230" formatCode="0%;\(0%\)"/>
    <numFmt numFmtId="231" formatCode="0.000_);\(0.000\)"/>
    <numFmt numFmtId="232" formatCode="0.0_);\(0.0\)"/>
    <numFmt numFmtId="233" formatCode="&quot;$&quot;#,##0.0"/>
    <numFmt numFmtId="234" formatCode="&quot;- Opening UCC pool of &quot;&quot;$&quot;#,###.0&quot; million as of January 1, 1999&quot;"/>
    <numFmt numFmtId="235" formatCode="0\ &quot;years&quot;"/>
    <numFmt numFmtId="236" formatCode="&quot;- EBITDA margin of &quot;0.0%"/>
    <numFmt numFmtId="237" formatCode="#,##0.000000_);\(#,##0.000000\)"/>
    <numFmt numFmtId="238" formatCode="0000\A"/>
    <numFmt numFmtId="239" formatCode="0000\P"/>
    <numFmt numFmtId="240" formatCode="0_);\(0\)"/>
    <numFmt numFmtId="241" formatCode="\+0.0%;\(0.0%\)"/>
    <numFmt numFmtId="242" formatCode="_(* #,##0.000_);_(* \(#,##0.000\);_(* &quot;-&quot;??_);_(@_)"/>
    <numFmt numFmtId="243" formatCode="#,##0;\(#,##0\);\-"/>
    <numFmt numFmtId="244" formatCode="&quot;FY&quot;0\E"/>
    <numFmt numFmtId="245" formatCode="0.0&quot;x&quot;"/>
    <numFmt numFmtId="246" formatCode="\+0.00%;\(0.00%\)"/>
    <numFmt numFmtId="247" formatCode="&quot;Comp&quot;\ 0"/>
    <numFmt numFmtId="248" formatCode="0.00&quot;x&quot;"/>
    <numFmt numFmtId="249" formatCode="mm\-dd\-yy"/>
    <numFmt numFmtId="250" formatCode="&quot;Step &quot;0.0%"/>
    <numFmt numFmtId="251" formatCode="&quot;Step &quot;0.0\x"/>
    <numFmt numFmtId="252" formatCode="0.00%;\(0.00%\)"/>
    <numFmt numFmtId="253" formatCode="0.0"/>
    <numFmt numFmtId="254" formatCode="0.000%;\(0.000%\)"/>
  </numFmts>
  <fonts count="150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GillSans"/>
    </font>
    <font>
      <sz val="8"/>
      <color indexed="49"/>
      <name val="Times New Roman"/>
      <family val="1"/>
    </font>
    <font>
      <sz val="10"/>
      <name val="Arial"/>
      <family val="2"/>
    </font>
    <font>
      <sz val="10"/>
      <name val="Trebuchet M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8"/>
      <name val="Times New Roman"/>
      <family val="1"/>
    </font>
    <font>
      <sz val="10"/>
      <name val="Times New Roman"/>
      <family val="1"/>
    </font>
    <font>
      <b/>
      <sz val="18"/>
      <name val="Tms Rmn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7"/>
      <name val="GillSans"/>
    </font>
    <font>
      <sz val="10"/>
      <name val="Geneva"/>
    </font>
    <font>
      <sz val="24"/>
      <name val="Arial"/>
      <family val="2"/>
    </font>
    <font>
      <sz val="8"/>
      <name val="Arial"/>
      <family val="2"/>
    </font>
    <font>
      <sz val="10"/>
      <name val="Helvetica"/>
      <family val="2"/>
    </font>
    <font>
      <b/>
      <sz val="8"/>
      <name val="Arial"/>
      <family val="2"/>
    </font>
    <font>
      <b/>
      <sz val="8"/>
      <name val="Times New Roman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i/>
      <sz val="8"/>
      <color indexed="17"/>
      <name val="Times New Roman"/>
      <family val="1"/>
    </font>
    <font>
      <sz val="8"/>
      <color indexed="21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12"/>
      <name val="Trebuchet MS"/>
      <family val="2"/>
    </font>
    <font>
      <sz val="10"/>
      <name val="MS Sans Serif"/>
      <family val="2"/>
    </font>
    <font>
      <sz val="11"/>
      <color indexed="62"/>
      <name val="Calibri"/>
      <family val="2"/>
    </font>
    <font>
      <b/>
      <sz val="10"/>
      <color indexed="9"/>
      <name val="Tms Rmn"/>
    </font>
    <font>
      <b/>
      <sz val="10"/>
      <name val="Arial"/>
      <family val="2"/>
    </font>
    <font>
      <sz val="11"/>
      <color indexed="52"/>
      <name val="Calibri"/>
      <family val="2"/>
    </font>
    <font>
      <sz val="8"/>
      <color indexed="18"/>
      <name val="Times New Roman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name val="Palatino"/>
    </font>
    <font>
      <sz val="12"/>
      <name val="Baskerville MT"/>
    </font>
    <font>
      <u/>
      <sz val="10"/>
      <name val="GillSans"/>
      <family val="2"/>
    </font>
    <font>
      <sz val="10"/>
      <name val="GillSans Light"/>
    </font>
    <font>
      <b/>
      <sz val="12"/>
      <name val="Arial"/>
      <family val="2"/>
    </font>
    <font>
      <b/>
      <sz val="16"/>
      <name val="Arial"/>
      <family val="2"/>
    </font>
    <font>
      <sz val="8"/>
      <name val="MS Sans Serif"/>
      <family val="2"/>
    </font>
    <font>
      <sz val="8.25"/>
      <color indexed="8"/>
      <name val="Arial"/>
      <family val="2"/>
    </font>
    <font>
      <b/>
      <u val="singleAccounting"/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39"/>
      <name val="Arial"/>
      <family val="2"/>
    </font>
    <font>
      <sz val="7"/>
      <name val="Times New Roman"/>
      <family val="1"/>
    </font>
    <font>
      <sz val="7"/>
      <color indexed="17"/>
      <name val="Times New Roman"/>
      <family val="1"/>
    </font>
    <font>
      <sz val="7"/>
      <color indexed="18"/>
      <name val="Times New Roman"/>
      <family val="1"/>
    </font>
    <font>
      <b/>
      <sz val="12"/>
      <name val="GillSans"/>
      <family val="2"/>
    </font>
    <font>
      <b/>
      <sz val="18"/>
      <color indexed="56"/>
      <name val="Cambria"/>
      <family val="2"/>
    </font>
    <font>
      <b/>
      <sz val="11"/>
      <name val="GillSans"/>
    </font>
    <font>
      <b/>
      <sz val="8"/>
      <color indexed="18"/>
      <name val="Times New Roman"/>
      <family val="1"/>
    </font>
    <font>
      <i/>
      <sz val="8"/>
      <name val="Times New Roman"/>
      <family val="1"/>
    </font>
    <font>
      <u/>
      <sz val="11"/>
      <name val="GillSans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i/>
      <sz val="14"/>
      <color indexed="10"/>
      <name val="Arial"/>
      <family val="2"/>
    </font>
    <font>
      <b/>
      <i/>
      <sz val="9"/>
      <color indexed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  <font>
      <sz val="10"/>
      <color indexed="12"/>
      <name val="Arial"/>
      <family val="2"/>
    </font>
    <font>
      <sz val="10"/>
      <color rgb="FF009B73"/>
      <name val="Arial"/>
      <family val="2"/>
    </font>
    <font>
      <sz val="10"/>
      <color rgb="FF0000FF"/>
      <name val="Arial"/>
      <family val="2"/>
    </font>
    <font>
      <b/>
      <sz val="10"/>
      <color indexed="10"/>
      <name val="Arial"/>
      <family val="2"/>
    </font>
    <font>
      <u/>
      <sz val="10"/>
      <color rgb="FF0000FF"/>
      <name val="Arial"/>
      <family val="2"/>
    </font>
    <font>
      <u/>
      <sz val="10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rgb="FF009B73"/>
      <name val="Arial"/>
      <family val="2"/>
    </font>
    <font>
      <sz val="10"/>
      <color indexed="61"/>
      <name val="Arial"/>
      <family val="2"/>
    </font>
    <font>
      <b/>
      <sz val="10"/>
      <color indexed="12"/>
      <name val="Arial"/>
      <family val="2"/>
    </font>
    <font>
      <b/>
      <sz val="10"/>
      <color theme="0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i/>
      <sz val="14"/>
      <name val="Arial"/>
      <family val="2"/>
    </font>
    <font>
      <sz val="10"/>
      <color theme="0"/>
      <name val="Arial"/>
      <family val="2"/>
    </font>
    <font>
      <b/>
      <i/>
      <sz val="10"/>
      <color theme="0"/>
      <name val="Arial"/>
      <family val="2"/>
    </font>
    <font>
      <i/>
      <sz val="10"/>
      <color theme="0"/>
      <name val="Arial"/>
      <family val="2"/>
    </font>
    <font>
      <b/>
      <sz val="8"/>
      <color rgb="FF008ED6"/>
      <name val="Arial"/>
      <family val="2"/>
    </font>
    <font>
      <sz val="10"/>
      <color rgb="FF002F6C"/>
      <name val="Arial"/>
      <family val="2"/>
    </font>
    <font>
      <i/>
      <sz val="9"/>
      <color rgb="FF002F6C"/>
      <name val="Arial"/>
      <family val="2"/>
    </font>
    <font>
      <sz val="10"/>
      <color rgb="FF4586BB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FF"/>
      <name val="Arial"/>
      <family val="2"/>
    </font>
    <font>
      <b/>
      <sz val="18"/>
      <color theme="1"/>
      <name val="Arial"/>
      <family val="2"/>
    </font>
    <font>
      <b/>
      <sz val="11"/>
      <color rgb="FF000000"/>
      <name val="Arial"/>
      <family val="2"/>
    </font>
    <font>
      <i/>
      <sz val="11"/>
      <color theme="1"/>
      <name val="Arial"/>
      <family val="2"/>
    </font>
    <font>
      <u/>
      <sz val="11"/>
      <color theme="1"/>
      <name val="Arial"/>
      <family val="2"/>
    </font>
    <font>
      <b/>
      <sz val="11"/>
      <color rgb="FF0000FF"/>
      <name val="Arial"/>
      <family val="2"/>
    </font>
    <font>
      <sz val="11"/>
      <color rgb="FF000000"/>
      <name val="Arial"/>
      <family val="2"/>
    </font>
    <font>
      <i/>
      <sz val="11"/>
      <color rgb="FF0000FF"/>
      <name val="Arial"/>
      <family val="2"/>
    </font>
    <font>
      <sz val="11"/>
      <color rgb="FF008000"/>
      <name val="Arial"/>
      <family val="2"/>
    </font>
    <font>
      <b/>
      <sz val="11"/>
      <color rgb="FF008000"/>
      <name val="Arial"/>
      <family val="2"/>
    </font>
    <font>
      <i/>
      <sz val="10"/>
      <color theme="1"/>
      <name val="Arial"/>
      <family val="2"/>
    </font>
    <font>
      <u val="singleAccounting"/>
      <sz val="10"/>
      <color theme="1"/>
      <name val="Arial"/>
      <family val="2"/>
    </font>
    <font>
      <b/>
      <i/>
      <sz val="10"/>
      <color indexed="10"/>
      <name val="Arial"/>
      <family val="2"/>
    </font>
    <font>
      <b/>
      <sz val="10"/>
      <color theme="1"/>
      <name val="Arial"/>
      <family val="2"/>
    </font>
    <font>
      <i/>
      <sz val="10"/>
      <color rgb="FF000000"/>
      <name val="Arial"/>
      <family val="2"/>
    </font>
    <font>
      <sz val="10"/>
      <color rgb="FF008000"/>
      <name val="Arial"/>
      <family val="2"/>
    </font>
    <font>
      <sz val="10"/>
      <color rgb="FF000000"/>
      <name val="Arial"/>
      <family val="2"/>
    </font>
    <font>
      <i/>
      <sz val="10"/>
      <color rgb="FF0000FF"/>
      <name val="Arial"/>
      <family val="2"/>
    </font>
    <font>
      <b/>
      <sz val="10"/>
      <color rgb="FF000000"/>
      <name val="Arial"/>
      <family val="2"/>
    </font>
    <font>
      <u val="singleAccounting"/>
      <sz val="10"/>
      <color rgb="FF000000"/>
      <name val="Arial"/>
      <family val="2"/>
    </font>
    <font>
      <u/>
      <sz val="10"/>
      <color theme="1"/>
      <name val="Arial"/>
      <family val="2"/>
    </font>
    <font>
      <b/>
      <sz val="10"/>
      <color rgb="FF0000FF"/>
      <name val="Arial"/>
      <family val="2"/>
    </font>
    <font>
      <i/>
      <sz val="10"/>
      <color indexed="12"/>
      <name val="Arial"/>
      <family val="2"/>
    </font>
    <font>
      <i/>
      <u/>
      <sz val="10"/>
      <color theme="1"/>
      <name val="Arial"/>
      <family val="2"/>
    </font>
    <font>
      <u/>
      <sz val="10"/>
      <color rgb="FF009B73"/>
      <name val="Arial"/>
      <family val="2"/>
    </font>
    <font>
      <i/>
      <sz val="10"/>
      <color rgb="FF009B73"/>
      <name val="Arial"/>
      <family val="2"/>
    </font>
    <font>
      <b/>
      <sz val="18"/>
      <name val="Arial"/>
      <family val="2"/>
    </font>
    <font>
      <b/>
      <sz val="10"/>
      <color rgb="FFFF0000"/>
      <name val="Arial"/>
      <family val="2"/>
    </font>
    <font>
      <sz val="10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9"/>
      <color theme="1"/>
      <name val="Arial"/>
      <family val="2"/>
    </font>
    <font>
      <sz val="10"/>
      <color rgb="FF9C5700"/>
      <name val="Arial"/>
      <family val="2"/>
    </font>
    <font>
      <u/>
      <sz val="11"/>
      <color theme="10"/>
      <name val="Calibri"/>
      <family val="2"/>
      <scheme val="minor"/>
    </font>
    <font>
      <b/>
      <i/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i/>
      <sz val="9"/>
      <color rgb="FF000000"/>
      <name val="Arial"/>
      <family val="2"/>
    </font>
    <font>
      <b/>
      <sz val="18"/>
      <color rgb="FF000000"/>
      <name val="Arial"/>
      <family val="2"/>
    </font>
    <font>
      <u/>
      <sz val="10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4"/>
      <color rgb="FF000000"/>
      <name val="Arial"/>
      <family val="2"/>
    </font>
    <font>
      <b/>
      <i/>
      <sz val="10"/>
      <color rgb="FF000000"/>
      <name val="Arial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i/>
      <sz val="10"/>
      <color rgb="FF002F6C"/>
      <name val="Arial"/>
      <family val="2"/>
    </font>
    <font>
      <b/>
      <sz val="36"/>
      <color rgb="FF002F6C"/>
      <name val="Arial"/>
      <family val="2"/>
    </font>
    <font>
      <u/>
      <sz val="11"/>
      <color rgb="FF000000"/>
      <name val="Arial"/>
      <family val="2"/>
    </font>
    <font>
      <vertAlign val="subscript"/>
      <sz val="10"/>
      <name val="Arial"/>
      <family val="2"/>
    </font>
    <font>
      <vertAlign val="subscript"/>
      <sz val="10"/>
      <color theme="1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u/>
      <sz val="11"/>
      <color theme="1"/>
      <name val="Calibri"/>
      <family val="2"/>
      <scheme val="minor"/>
    </font>
    <font>
      <b/>
      <sz val="14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</patternFill>
    </fill>
    <fill>
      <patternFill patternType="solid">
        <fgColor indexed="6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F6C"/>
        <bgColor indexed="64"/>
      </patternFill>
    </fill>
    <fill>
      <patternFill patternType="solid">
        <fgColor rgb="FF5B77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FFFFFF"/>
        <bgColor indexed="64"/>
      </patternFill>
    </fill>
  </fills>
  <borders count="8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586BB"/>
      </left>
      <right/>
      <top/>
      <bottom style="thin">
        <color rgb="FF4586BB"/>
      </bottom>
      <diagonal/>
    </border>
    <border>
      <left/>
      <right/>
      <top/>
      <bottom style="thin">
        <color rgb="FF4586BB"/>
      </bottom>
      <diagonal/>
    </border>
    <border>
      <left/>
      <right style="thin">
        <color rgb="FF4586BB"/>
      </right>
      <top/>
      <bottom style="thin">
        <color rgb="FF4586BB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auto="1"/>
      </bottom>
      <diagonal/>
    </border>
    <border>
      <left style="thin">
        <color theme="0" tint="-0.14999847407452621"/>
      </left>
      <right/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2F6C"/>
      </left>
      <right/>
      <top style="thin">
        <color rgb="FF002F6C"/>
      </top>
      <bottom/>
      <diagonal/>
    </border>
    <border>
      <left/>
      <right/>
      <top style="thin">
        <color rgb="FF002F6C"/>
      </top>
      <bottom/>
      <diagonal/>
    </border>
    <border>
      <left style="thin">
        <color rgb="FF002F6C"/>
      </left>
      <right/>
      <top/>
      <bottom/>
      <diagonal/>
    </border>
    <border>
      <left/>
      <right/>
      <top/>
      <bottom style="dotted">
        <color rgb="FF009966"/>
      </bottom>
      <diagonal/>
    </border>
    <border>
      <left style="thin">
        <color rgb="FF002F6C"/>
      </left>
      <right/>
      <top/>
      <bottom style="thin">
        <color rgb="FF002F6C"/>
      </bottom>
      <diagonal/>
    </border>
    <border>
      <left/>
      <right/>
      <top/>
      <bottom style="thin">
        <color rgb="FF002F6C"/>
      </bottom>
      <diagonal/>
    </border>
    <border>
      <left/>
      <right style="thin">
        <color indexed="64"/>
      </right>
      <top/>
      <bottom style="thin">
        <color rgb="FF002F6C"/>
      </bottom>
      <diagonal/>
    </border>
    <border>
      <left/>
      <right style="thin">
        <color indexed="64"/>
      </right>
      <top/>
      <bottom style="dotted">
        <color rgb="FF009966"/>
      </bottom>
      <diagonal/>
    </border>
    <border>
      <left/>
      <right style="thin">
        <color rgb="FF002F6C"/>
      </right>
      <top style="thin">
        <color rgb="FF002F6C"/>
      </top>
      <bottom/>
      <diagonal/>
    </border>
    <border>
      <left/>
      <right style="thin">
        <color rgb="FF002F6C"/>
      </right>
      <top/>
      <bottom/>
      <diagonal/>
    </border>
    <border>
      <left/>
      <right style="thin">
        <color rgb="FF002F6C"/>
      </right>
      <top/>
      <bottom style="thin">
        <color rgb="FF002F6C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/>
      <top/>
      <bottom style="medium">
        <color rgb="FF002F6C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95">
    <xf numFmtId="0" fontId="0" fillId="0" borderId="0"/>
    <xf numFmtId="0" fontId="4" fillId="0" borderId="0"/>
    <xf numFmtId="170" fontId="4" fillId="0" borderId="0">
      <alignment horizontal="right"/>
    </xf>
    <xf numFmtId="171" fontId="4" fillId="2" borderId="0"/>
    <xf numFmtId="172" fontId="4" fillId="2" borderId="0"/>
    <xf numFmtId="171" fontId="4" fillId="2" borderId="0"/>
    <xf numFmtId="173" fontId="4" fillId="2" borderId="0"/>
    <xf numFmtId="174" fontId="4" fillId="2" borderId="0">
      <alignment horizontal="right"/>
    </xf>
    <xf numFmtId="175" fontId="5" fillId="0" borderId="0" applyFont="0" applyFill="0" applyBorder="0" applyAlignment="0" applyProtection="0"/>
    <xf numFmtId="0" fontId="6" fillId="0" borderId="0" applyNumberFormat="0" applyFont="0" applyFill="0" applyBorder="0" applyAlignment="0" applyProtection="0"/>
    <xf numFmtId="176" fontId="7" fillId="0" borderId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20" borderId="0" applyNumberFormat="0" applyBorder="0" applyAlignment="0" applyProtection="0"/>
    <xf numFmtId="0" fontId="7" fillId="0" borderId="0"/>
    <xf numFmtId="0" fontId="10" fillId="4" borderId="0" applyNumberFormat="0" applyBorder="0" applyAlignment="0" applyProtection="0"/>
    <xf numFmtId="177" fontId="11" fillId="0" borderId="0" applyFont="0" applyFill="0" applyBorder="0" applyAlignment="0" applyProtection="0"/>
    <xf numFmtId="38" fontId="11" fillId="0" borderId="0" applyFill="0" applyBorder="0" applyAlignment="0" applyProtection="0">
      <protection locked="0"/>
    </xf>
    <xf numFmtId="0" fontId="12" fillId="0" borderId="0"/>
    <xf numFmtId="37" fontId="13" fillId="0" borderId="0">
      <alignment horizontal="centerContinuous"/>
    </xf>
    <xf numFmtId="0" fontId="14" fillId="21" borderId="2" applyNumberFormat="0" applyAlignment="0" applyProtection="0"/>
    <xf numFmtId="177" fontId="11" fillId="0" borderId="0" applyFont="0" applyFill="0" applyBorder="0" applyAlignment="0" applyProtection="0">
      <protection locked="0"/>
    </xf>
    <xf numFmtId="177" fontId="11" fillId="0" borderId="3" applyFont="0" applyFill="0" applyAlignment="0" applyProtection="0"/>
    <xf numFmtId="0" fontId="15" fillId="22" borderId="4" applyNumberFormat="0" applyAlignment="0" applyProtection="0"/>
    <xf numFmtId="0" fontId="6" fillId="0" borderId="0">
      <alignment horizontal="center" wrapText="1"/>
      <protection hidden="1"/>
    </xf>
    <xf numFmtId="0" fontId="16" fillId="0" borderId="5" applyNumberFormat="0" applyFill="0" applyBorder="0" applyProtection="0">
      <alignment horizontal="left" vertical="center"/>
    </xf>
    <xf numFmtId="0" fontId="16" fillId="0" borderId="5" applyNumberFormat="0" applyFill="0" applyBorder="0" applyProtection="0">
      <alignment horizontal="right" vertical="center"/>
    </xf>
    <xf numFmtId="43" fontId="6" fillId="0" borderId="0" applyFont="0" applyFill="0" applyBorder="0" applyAlignment="0" applyProtection="0"/>
    <xf numFmtId="37" fontId="17" fillId="0" borderId="0" applyFont="0" applyFill="0" applyBorder="0" applyAlignment="0" applyProtection="0"/>
    <xf numFmtId="39" fontId="17" fillId="0" borderId="0" applyFont="0" applyFill="0" applyBorder="0" applyAlignment="0" applyProtection="0"/>
    <xf numFmtId="0" fontId="18" fillId="23" borderId="0">
      <alignment horizontal="center" vertical="center" wrapText="1"/>
    </xf>
    <xf numFmtId="178" fontId="6" fillId="0" borderId="0" applyFill="0" applyBorder="0">
      <alignment horizontal="right"/>
      <protection locked="0"/>
    </xf>
    <xf numFmtId="0" fontId="19" fillId="0" borderId="0" applyFont="0" applyFill="0" applyBorder="0" applyAlignment="0"/>
    <xf numFmtId="7" fontId="20" fillId="0" borderId="0" applyFont="0" applyFill="0" applyBorder="0" applyAlignment="0" applyProtection="0"/>
    <xf numFmtId="5" fontId="17" fillId="0" borderId="0" applyFont="0" applyFill="0" applyBorder="0" applyAlignment="0" applyProtection="0"/>
    <xf numFmtId="179" fontId="7" fillId="0" borderId="0" applyFill="0" applyBorder="0" applyProtection="0">
      <alignment horizontal="right"/>
    </xf>
    <xf numFmtId="180" fontId="4" fillId="2" borderId="6">
      <alignment horizontal="right"/>
    </xf>
    <xf numFmtId="181" fontId="4" fillId="2" borderId="6">
      <alignment horizontal="right"/>
    </xf>
    <xf numFmtId="180" fontId="4" fillId="2" borderId="6">
      <alignment horizontal="right"/>
    </xf>
    <xf numFmtId="15" fontId="21" fillId="0" borderId="0" applyFill="0" applyBorder="0" applyAlignment="0"/>
    <xf numFmtId="182" fontId="19" fillId="24" borderId="0" applyFont="0" applyFill="0" applyBorder="0" applyAlignment="0" applyProtection="0"/>
    <xf numFmtId="183" fontId="21" fillId="0" borderId="5"/>
    <xf numFmtId="14" fontId="22" fillId="0" borderId="0" applyFont="0" applyFill="0" applyBorder="0" applyAlignment="0" applyProtection="0">
      <alignment horizontal="center"/>
    </xf>
    <xf numFmtId="184" fontId="22" fillId="0" borderId="0" applyFont="0" applyFill="0" applyBorder="0" applyAlignment="0" applyProtection="0">
      <alignment horizontal="center"/>
    </xf>
    <xf numFmtId="185" fontId="7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11" fillId="0" borderId="0" applyFont="0" applyFill="0" applyBorder="0" applyAlignment="0" applyProtection="0">
      <alignment horizontal="right"/>
    </xf>
    <xf numFmtId="6" fontId="11" fillId="0" borderId="0" applyFont="0" applyFill="0" applyBorder="0" applyAlignment="0" applyProtection="0"/>
    <xf numFmtId="39" fontId="4" fillId="25" borderId="0"/>
    <xf numFmtId="7" fontId="4" fillId="25" borderId="0" applyBorder="0"/>
    <xf numFmtId="186" fontId="4" fillId="25" borderId="0"/>
    <xf numFmtId="187" fontId="4" fillId="0" borderId="0"/>
    <xf numFmtId="188" fontId="4" fillId="25" borderId="0"/>
    <xf numFmtId="189" fontId="4" fillId="25" borderId="0"/>
    <xf numFmtId="190" fontId="12" fillId="0" borderId="0" applyFont="0" applyFill="0" applyBorder="0" applyProtection="0">
      <alignment horizontal="left"/>
      <protection locked="0"/>
    </xf>
    <xf numFmtId="191" fontId="4" fillId="0" borderId="0"/>
    <xf numFmtId="192" fontId="12" fillId="0" borderId="0" applyFont="0" applyFill="0" applyBorder="0" applyProtection="0">
      <alignment horizontal="left"/>
      <protection locked="0"/>
    </xf>
    <xf numFmtId="193" fontId="6" fillId="0" borderId="0" applyFont="0" applyFill="0" applyBorder="0" applyAlignment="0" applyProtection="0"/>
    <xf numFmtId="0" fontId="23" fillId="0" borderId="0" applyNumberFormat="0" applyFill="0" applyBorder="0" applyAlignment="0" applyProtection="0"/>
    <xf numFmtId="175" fontId="4" fillId="0" borderId="7"/>
    <xf numFmtId="194" fontId="4" fillId="2" borderId="6">
      <alignment horizontal="right"/>
    </xf>
    <xf numFmtId="195" fontId="4" fillId="2" borderId="6">
      <alignment horizontal="right"/>
    </xf>
    <xf numFmtId="194" fontId="4" fillId="2" borderId="6">
      <alignment horizontal="right"/>
    </xf>
    <xf numFmtId="196" fontId="11" fillId="0" borderId="0" applyFill="0" applyBorder="0" applyAlignment="0" applyProtection="0">
      <protection locked="0"/>
    </xf>
    <xf numFmtId="0" fontId="24" fillId="5" borderId="0" applyNumberFormat="0" applyBorder="0" applyAlignment="0" applyProtection="0"/>
    <xf numFmtId="197" fontId="25" fillId="0" borderId="0" applyFill="0" applyBorder="0" applyAlignment="0" applyProtection="0"/>
    <xf numFmtId="175" fontId="26" fillId="0" borderId="0" applyAlignment="0">
      <alignment horizontal="left"/>
      <protection locked="0"/>
    </xf>
    <xf numFmtId="196" fontId="7" fillId="26" borderId="8" applyNumberFormat="0" applyFont="0" applyAlignment="0" applyProtection="0"/>
    <xf numFmtId="0" fontId="27" fillId="0" borderId="9" applyNumberFormat="0" applyFill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29" fillId="0" borderId="0" applyNumberFormat="0" applyFill="0" applyBorder="0" applyAlignment="0" applyProtection="0"/>
    <xf numFmtId="196" fontId="30" fillId="0" borderId="0" applyNumberFormat="0" applyFill="0" applyBorder="0" applyAlignment="0" applyProtection="0"/>
    <xf numFmtId="0" fontId="31" fillId="0" borderId="0"/>
    <xf numFmtId="177" fontId="11" fillId="0" borderId="0" applyFont="0" applyFill="0" applyBorder="0" applyAlignment="0" applyProtection="0"/>
    <xf numFmtId="38" fontId="11" fillId="0" borderId="0" applyFill="0" applyBorder="0" applyAlignment="0" applyProtection="0">
      <alignment horizontal="right"/>
      <protection locked="0"/>
    </xf>
    <xf numFmtId="0" fontId="32" fillId="8" borderId="2" applyNumberFormat="0" applyAlignment="0" applyProtection="0"/>
    <xf numFmtId="0" fontId="19" fillId="24" borderId="0" applyFont="0" applyBorder="0" applyAlignment="0">
      <protection locked="0"/>
    </xf>
    <xf numFmtId="0" fontId="6" fillId="0" borderId="0" applyFill="0" applyBorder="0">
      <alignment horizontal="right"/>
      <protection locked="0"/>
    </xf>
    <xf numFmtId="17" fontId="33" fillId="27" borderId="0"/>
    <xf numFmtId="198" fontId="6" fillId="0" borderId="0" applyFill="0" applyBorder="0">
      <alignment horizontal="right"/>
      <protection locked="0"/>
    </xf>
    <xf numFmtId="0" fontId="34" fillId="28" borderId="12">
      <alignment horizontal="left" vertical="center" wrapText="1"/>
    </xf>
    <xf numFmtId="0" fontId="35" fillId="0" borderId="13" applyNumberFormat="0" applyFill="0" applyAlignment="0" applyProtection="0"/>
    <xf numFmtId="167" fontId="11" fillId="0" borderId="0" applyFont="0" applyFill="0" applyBorder="0" applyAlignment="0" applyProtection="0">
      <alignment horizontal="right"/>
    </xf>
    <xf numFmtId="199" fontId="4" fillId="0" borderId="0">
      <alignment horizontal="right"/>
    </xf>
    <xf numFmtId="200" fontId="4" fillId="25" borderId="0">
      <alignment horizontal="right"/>
    </xf>
    <xf numFmtId="201" fontId="4" fillId="0" borderId="0">
      <alignment horizontal="right"/>
    </xf>
    <xf numFmtId="199" fontId="4" fillId="0" borderId="0">
      <alignment horizontal="right"/>
    </xf>
    <xf numFmtId="175" fontId="36" fillId="0" borderId="0" applyFill="0" applyBorder="0" applyAlignment="0" applyProtection="0">
      <alignment horizontal="right"/>
    </xf>
    <xf numFmtId="175" fontId="36" fillId="0" borderId="0" applyFill="0" applyBorder="0" applyAlignment="0" applyProtection="0"/>
    <xf numFmtId="202" fontId="4" fillId="2" borderId="6">
      <alignment horizontal="right"/>
    </xf>
    <xf numFmtId="203" fontId="11" fillId="0" borderId="0" applyFont="0" applyFill="0" applyBorder="0" applyAlignment="0" applyProtection="0"/>
    <xf numFmtId="0" fontId="17" fillId="2" borderId="0" applyFont="0" applyBorder="0" applyAlignment="0" applyProtection="0">
      <alignment horizontal="right"/>
      <protection hidden="1"/>
    </xf>
    <xf numFmtId="0" fontId="37" fillId="26" borderId="0" applyNumberFormat="0" applyBorder="0" applyAlignment="0" applyProtection="0"/>
    <xf numFmtId="37" fontId="20" fillId="0" borderId="0" applyFont="0" applyFill="0" applyBorder="0" applyAlignment="0" applyProtection="0"/>
    <xf numFmtId="204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21" fillId="0" borderId="0" applyNumberFormat="0" applyFill="0" applyBorder="0" applyAlignment="0" applyProtection="0"/>
    <xf numFmtId="0" fontId="19" fillId="0" borderId="0" applyFont="0" applyFill="0" applyBorder="0" applyAlignment="0" applyProtection="0"/>
    <xf numFmtId="205" fontId="19" fillId="0" borderId="0" applyFont="0" applyFill="0" applyBorder="0" applyAlignment="0" applyProtection="0"/>
    <xf numFmtId="0" fontId="8" fillId="29" borderId="14" applyNumberFormat="0" applyFont="0" applyAlignment="0" applyProtection="0"/>
    <xf numFmtId="0" fontId="17" fillId="0" borderId="0" applyFont="0" applyFill="0" applyBorder="0" applyAlignment="0" applyProtection="0"/>
    <xf numFmtId="206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8" fillId="21" borderId="15" applyNumberFormat="0" applyAlignment="0" applyProtection="0"/>
    <xf numFmtId="207" fontId="11" fillId="0" borderId="0" applyFont="0" applyFill="0" applyBorder="0" applyAlignment="0" applyProtection="0">
      <alignment horizontal="right"/>
    </xf>
    <xf numFmtId="0" fontId="39" fillId="0" borderId="0" applyNumberFormat="0" applyFill="0" applyBorder="0" applyAlignment="0" applyProtection="0"/>
    <xf numFmtId="0" fontId="19" fillId="0" borderId="0"/>
    <xf numFmtId="208" fontId="4" fillId="25" borderId="0"/>
    <xf numFmtId="9" fontId="11" fillId="0" borderId="0" applyFont="0" applyFill="0" applyBorder="0" applyAlignment="0" applyProtection="0">
      <alignment horizontal="right"/>
    </xf>
    <xf numFmtId="209" fontId="4" fillId="0" borderId="0"/>
    <xf numFmtId="0" fontId="6" fillId="0" borderId="0" applyFont="0" applyFill="0" applyBorder="0" applyAlignment="0"/>
    <xf numFmtId="171" fontId="6" fillId="0" borderId="0" applyFont="0" applyFill="0" applyBorder="0" applyAlignment="0" applyProtection="0"/>
    <xf numFmtId="210" fontId="6" fillId="0" borderId="0" applyFont="0" applyFill="0" applyBorder="0" applyAlignment="0" applyProtection="0"/>
    <xf numFmtId="211" fontId="6" fillId="0" borderId="0" applyFill="0" applyBorder="0">
      <alignment horizontal="right"/>
      <protection locked="0"/>
    </xf>
    <xf numFmtId="197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177" fontId="11" fillId="0" borderId="0" applyFont="0" applyFill="0" applyBorder="0" applyAlignment="0" applyProtection="0">
      <protection locked="0"/>
    </xf>
    <xf numFmtId="196" fontId="11" fillId="0" borderId="0" applyFill="0" applyBorder="0" applyAlignment="0" applyProtection="0"/>
    <xf numFmtId="38" fontId="11" fillId="0" borderId="0" applyFont="0" applyFill="0" applyBorder="0" applyAlignment="0" applyProtection="0"/>
    <xf numFmtId="173" fontId="4" fillId="2" borderId="16">
      <alignment horizontal="right"/>
    </xf>
    <xf numFmtId="212" fontId="40" fillId="2" borderId="0"/>
    <xf numFmtId="213" fontId="4" fillId="2" borderId="0"/>
    <xf numFmtId="0" fontId="41" fillId="0" borderId="0">
      <alignment horizontal="center"/>
    </xf>
    <xf numFmtId="0" fontId="4" fillId="0" borderId="5">
      <alignment horizontal="centerContinuous"/>
    </xf>
    <xf numFmtId="214" fontId="4" fillId="2" borderId="0">
      <alignment horizontal="right"/>
    </xf>
    <xf numFmtId="215" fontId="4" fillId="2" borderId="6">
      <alignment horizontal="right"/>
    </xf>
    <xf numFmtId="216" fontId="6" fillId="0" borderId="0">
      <alignment horizontal="right"/>
      <protection locked="0"/>
    </xf>
    <xf numFmtId="196" fontId="22" fillId="0" borderId="0" applyFont="0" applyFill="0" applyBorder="0" applyAlignment="0" applyProtection="0"/>
    <xf numFmtId="0" fontId="42" fillId="0" borderId="0" applyNumberFormat="0" applyFill="0" applyBorder="0" applyProtection="0">
      <alignment horizontal="right" vertical="center"/>
    </xf>
    <xf numFmtId="0" fontId="43" fillId="23" borderId="8">
      <alignment horizontal="center" vertical="center" wrapText="1"/>
      <protection hidden="1"/>
    </xf>
    <xf numFmtId="177" fontId="11" fillId="0" borderId="0" applyFill="0" applyBorder="0" applyAlignment="0" applyProtection="0">
      <protection locked="0"/>
    </xf>
    <xf numFmtId="217" fontId="22" fillId="0" borderId="0" applyFont="0" applyFill="0" applyBorder="0" applyAlignment="0" applyProtection="0">
      <alignment horizontal="right"/>
    </xf>
    <xf numFmtId="38" fontId="6" fillId="0" borderId="0" applyFont="0" applyFill="0" applyBorder="0" applyAlignment="0" applyProtection="0"/>
    <xf numFmtId="0" fontId="44" fillId="0" borderId="17" applyNumberFormat="0" applyFill="0" applyProtection="0">
      <alignment horizontal="left" vertical="top" wrapText="1"/>
    </xf>
    <xf numFmtId="0" fontId="31" fillId="0" borderId="0" applyNumberFormat="0" applyFill="0" applyBorder="0" applyProtection="0">
      <alignment horizontal="left" vertical="top" wrapText="1"/>
    </xf>
    <xf numFmtId="0" fontId="45" fillId="0" borderId="0" applyNumberFormat="0" applyFill="0" applyProtection="0">
      <alignment horizontal="left" vertical="top" wrapText="1"/>
    </xf>
    <xf numFmtId="0" fontId="46" fillId="0" borderId="0" applyNumberFormat="0" applyFill="0" applyBorder="0" applyProtection="0"/>
    <xf numFmtId="0" fontId="47" fillId="30" borderId="0" applyNumberFormat="0" applyBorder="0" applyProtection="0"/>
    <xf numFmtId="0" fontId="48" fillId="0" borderId="0" applyNumberFormat="0" applyFill="0" applyBorder="0" applyProtection="0">
      <alignment vertical="top"/>
    </xf>
    <xf numFmtId="218" fontId="49" fillId="0" borderId="0" applyFill="0" applyBorder="0" applyProtection="0">
      <alignment horizontal="right" wrapText="1"/>
    </xf>
    <xf numFmtId="219" fontId="49" fillId="0" borderId="0" applyFill="0" applyBorder="0" applyProtection="0">
      <alignment horizontal="right"/>
    </xf>
    <xf numFmtId="4" fontId="19" fillId="0" borderId="0" applyFill="0" applyBorder="0" applyProtection="0">
      <alignment horizontal="right"/>
    </xf>
    <xf numFmtId="189" fontId="50" fillId="0" borderId="0" applyFill="0" applyBorder="0" applyAlignment="0" applyProtection="0"/>
    <xf numFmtId="220" fontId="51" fillId="0" borderId="0" applyFill="0" applyBorder="0" applyAlignment="0" applyProtection="0">
      <alignment horizontal="left"/>
      <protection locked="0"/>
    </xf>
    <xf numFmtId="220" fontId="51" fillId="0" borderId="0" applyFill="0" applyBorder="0" applyAlignment="0" applyProtection="0"/>
    <xf numFmtId="220" fontId="52" fillId="0" borderId="0" applyFill="0" applyBorder="0" applyAlignment="0" applyProtection="0">
      <alignment horizontal="left"/>
      <protection locked="0"/>
    </xf>
    <xf numFmtId="220" fontId="52" fillId="0" borderId="0" applyFill="0" applyBorder="0" applyAlignment="0" applyProtection="0">
      <protection locked="0"/>
    </xf>
    <xf numFmtId="196" fontId="11" fillId="0" borderId="0" applyFill="0" applyBorder="0" applyAlignment="0" applyProtection="0">
      <protection locked="0"/>
    </xf>
    <xf numFmtId="196" fontId="50" fillId="0" borderId="0" applyFill="0" applyBorder="0" applyAlignment="0" applyProtection="0"/>
    <xf numFmtId="49" fontId="53" fillId="0" borderId="0"/>
    <xf numFmtId="221" fontId="6" fillId="0" borderId="0" applyFont="0" applyFill="0" applyBorder="0" applyAlignment="0" applyProtection="0"/>
    <xf numFmtId="222" fontId="6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55" fillId="1" borderId="0" applyNumberFormat="0" applyBorder="0" applyProtection="0">
      <alignment horizontal="left" vertical="center"/>
    </xf>
    <xf numFmtId="196" fontId="56" fillId="0" borderId="0" applyNumberFormat="0" applyFill="0" applyBorder="0" applyAlignment="0" applyProtection="0"/>
    <xf numFmtId="0" fontId="6" fillId="0" borderId="0" applyBorder="0"/>
    <xf numFmtId="38" fontId="57" fillId="0" borderId="0" applyFill="0" applyBorder="0" applyAlignment="0" applyProtection="0">
      <alignment horizontal="left"/>
    </xf>
    <xf numFmtId="0" fontId="58" fillId="0" borderId="0"/>
    <xf numFmtId="0" fontId="59" fillId="0" borderId="18" applyNumberFormat="0" applyFill="0" applyAlignment="0" applyProtection="0"/>
    <xf numFmtId="0" fontId="60" fillId="0" borderId="0" applyNumberFormat="0" applyFill="0" applyBorder="0" applyAlignment="0" applyProtection="0"/>
    <xf numFmtId="1" fontId="11" fillId="0" borderId="0" applyFont="0" applyFill="0" applyBorder="0" applyAlignment="0" applyProtection="0"/>
    <xf numFmtId="223" fontId="20" fillId="0" borderId="0" applyFont="0" applyFill="0" applyBorder="0" applyAlignment="0" applyProtection="0"/>
    <xf numFmtId="217" fontId="12" fillId="0" borderId="0" applyNumberFormat="0" applyFill="0" applyBorder="0" applyAlignment="0" applyProtection="0"/>
    <xf numFmtId="43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44" fontId="61" fillId="0" borderId="0" applyFont="0" applyFill="0" applyBorder="0" applyAlignment="0" applyProtection="0"/>
    <xf numFmtId="37" fontId="12" fillId="0" borderId="0"/>
    <xf numFmtId="0" fontId="12" fillId="0" borderId="0"/>
    <xf numFmtId="0" fontId="6" fillId="0" borderId="0"/>
    <xf numFmtId="0" fontId="123" fillId="36" borderId="0" applyNumberFormat="0" applyBorder="0" applyAlignment="0" applyProtection="0"/>
    <xf numFmtId="0" fontId="126" fillId="0" borderId="0" applyNumberFormat="0" applyFill="0" applyBorder="0" applyAlignment="0" applyProtection="0"/>
  </cellStyleXfs>
  <cellXfs count="961">
    <xf numFmtId="0" fontId="0" fillId="0" borderId="0" xfId="0"/>
    <xf numFmtId="0" fontId="0" fillId="32" borderId="0" xfId="0" applyFill="1"/>
    <xf numFmtId="204" fontId="34" fillId="32" borderId="0" xfId="187" applyNumberFormat="1" applyFont="1" applyFill="1" applyBorder="1" applyAlignment="1" applyProtection="1">
      <alignment horizontal="right"/>
    </xf>
    <xf numFmtId="0" fontId="62" fillId="32" borderId="19" xfId="0" applyFont="1" applyFill="1" applyBorder="1" applyAlignment="1">
      <alignment horizontal="centerContinuous"/>
    </xf>
    <xf numFmtId="0" fontId="63" fillId="32" borderId="19" xfId="0" applyFont="1" applyFill="1" applyBorder="1" applyAlignment="1">
      <alignment horizontal="centerContinuous"/>
    </xf>
    <xf numFmtId="0" fontId="64" fillId="32" borderId="19" xfId="0" applyFont="1" applyFill="1" applyBorder="1" applyAlignment="1">
      <alignment horizontal="centerContinuous"/>
    </xf>
    <xf numFmtId="0" fontId="34" fillId="32" borderId="0" xfId="0" applyFont="1" applyFill="1" applyAlignment="1">
      <alignment horizontal="centerContinuous"/>
    </xf>
    <xf numFmtId="0" fontId="67" fillId="32" borderId="0" xfId="0" applyFont="1" applyFill="1"/>
    <xf numFmtId="226" fontId="34" fillId="32" borderId="0" xfId="0" quotePrefix="1" applyNumberFormat="1" applyFont="1" applyFill="1" applyAlignment="1">
      <alignment horizontal="right"/>
    </xf>
    <xf numFmtId="5" fontId="68" fillId="32" borderId="0" xfId="0" applyNumberFormat="1" applyFont="1" applyFill="1"/>
    <xf numFmtId="167" fontId="68" fillId="32" borderId="0" xfId="0" applyNumberFormat="1" applyFont="1" applyFill="1"/>
    <xf numFmtId="0" fontId="34" fillId="32" borderId="0" xfId="0" applyFont="1" applyFill="1"/>
    <xf numFmtId="204" fontId="68" fillId="32" borderId="0" xfId="187" applyNumberFormat="1" applyFont="1" applyFill="1" applyBorder="1" applyAlignment="1" applyProtection="1">
      <alignment horizontal="right"/>
      <protection locked="0"/>
    </xf>
    <xf numFmtId="0" fontId="34" fillId="32" borderId="0" xfId="0" quotePrefix="1" applyFont="1" applyFill="1" applyAlignment="1">
      <alignment horizontal="left"/>
    </xf>
    <xf numFmtId="204" fontId="34" fillId="32" borderId="0" xfId="187" applyNumberFormat="1" applyFont="1" applyFill="1" applyBorder="1" applyProtection="1"/>
    <xf numFmtId="204" fontId="68" fillId="32" borderId="5" xfId="187" applyNumberFormat="1" applyFont="1" applyFill="1" applyBorder="1" applyProtection="1">
      <protection locked="0"/>
    </xf>
    <xf numFmtId="37" fontId="34" fillId="32" borderId="0" xfId="187" applyNumberFormat="1" applyFont="1" applyFill="1" applyBorder="1" applyProtection="1"/>
    <xf numFmtId="0" fontId="34" fillId="32" borderId="0" xfId="0" applyFont="1" applyFill="1" applyAlignment="1">
      <alignment horizontal="left"/>
    </xf>
    <xf numFmtId="39" fontId="34" fillId="32" borderId="0" xfId="187" applyNumberFormat="1" applyFont="1" applyFill="1" applyBorder="1" applyProtection="1"/>
    <xf numFmtId="6" fontId="34" fillId="32" borderId="0" xfId="0" quotePrefix="1" applyNumberFormat="1" applyFont="1" applyFill="1" applyAlignment="1">
      <alignment horizontal="left"/>
    </xf>
    <xf numFmtId="0" fontId="6" fillId="32" borderId="0" xfId="0" applyFont="1" applyFill="1"/>
    <xf numFmtId="6" fontId="34" fillId="32" borderId="0" xfId="0" applyNumberFormat="1" applyFont="1" applyFill="1" applyAlignment="1">
      <alignment horizontal="left"/>
    </xf>
    <xf numFmtId="168" fontId="34" fillId="32" borderId="0" xfId="0" applyNumberFormat="1" applyFont="1" applyFill="1"/>
    <xf numFmtId="9" fontId="34" fillId="32" borderId="0" xfId="0" applyNumberFormat="1" applyFont="1" applyFill="1"/>
    <xf numFmtId="230" fontId="65" fillId="32" borderId="5" xfId="0" applyNumberFormat="1" applyFont="1" applyFill="1" applyBorder="1"/>
    <xf numFmtId="0" fontId="34" fillId="32" borderId="23" xfId="0" applyFont="1" applyFill="1" applyBorder="1"/>
    <xf numFmtId="0" fontId="66" fillId="32" borderId="0" xfId="0" applyFont="1" applyFill="1" applyAlignment="1">
      <alignment horizontal="centerContinuous"/>
    </xf>
    <xf numFmtId="0" fontId="65" fillId="32" borderId="0" xfId="0" applyFont="1" applyFill="1" applyAlignment="1">
      <alignment horizontal="left"/>
    </xf>
    <xf numFmtId="0" fontId="67" fillId="32" borderId="0" xfId="0" applyFont="1" applyFill="1" applyAlignment="1">
      <alignment horizontal="right"/>
    </xf>
    <xf numFmtId="37" fontId="68" fillId="32" borderId="0" xfId="187" applyNumberFormat="1" applyFont="1" applyFill="1" applyBorder="1" applyProtection="1"/>
    <xf numFmtId="204" fontId="68" fillId="32" borderId="0" xfId="187" applyNumberFormat="1" applyFont="1" applyFill="1" applyProtection="1">
      <protection locked="0"/>
    </xf>
    <xf numFmtId="204" fontId="70" fillId="32" borderId="0" xfId="187" applyNumberFormat="1" applyFont="1" applyFill="1" applyBorder="1" applyProtection="1">
      <protection locked="0"/>
    </xf>
    <xf numFmtId="204" fontId="68" fillId="32" borderId="0" xfId="187" applyNumberFormat="1" applyFont="1" applyFill="1" applyBorder="1" applyProtection="1">
      <protection locked="0"/>
    </xf>
    <xf numFmtId="204" fontId="34" fillId="32" borderId="0" xfId="187" applyNumberFormat="1" applyFont="1" applyFill="1" applyProtection="1"/>
    <xf numFmtId="0" fontId="65" fillId="32" borderId="0" xfId="0" quotePrefix="1" applyFont="1" applyFill="1" applyAlignment="1">
      <alignment horizontal="left"/>
    </xf>
    <xf numFmtId="0" fontId="65" fillId="32" borderId="5" xfId="0" quotePrefix="1" applyFont="1" applyFill="1" applyBorder="1" applyAlignment="1">
      <alignment horizontal="left"/>
    </xf>
    <xf numFmtId="204" fontId="70" fillId="32" borderId="0" xfId="187" applyNumberFormat="1" applyFont="1" applyFill="1" applyProtection="1">
      <protection locked="0"/>
    </xf>
    <xf numFmtId="5" fontId="71" fillId="32" borderId="0" xfId="187" applyNumberFormat="1" applyFont="1" applyFill="1" applyProtection="1"/>
    <xf numFmtId="37" fontId="34" fillId="32" borderId="0" xfId="187" applyNumberFormat="1" applyFont="1" applyFill="1" applyProtection="1"/>
    <xf numFmtId="169" fontId="34" fillId="32" borderId="0" xfId="187" applyNumberFormat="1" applyFont="1" applyFill="1" applyProtection="1"/>
    <xf numFmtId="0" fontId="34" fillId="32" borderId="22" xfId="0" quotePrefix="1" applyFont="1" applyFill="1" applyBorder="1" applyAlignment="1">
      <alignment horizontal="left"/>
    </xf>
    <xf numFmtId="0" fontId="34" fillId="32" borderId="5" xfId="0" quotePrefix="1" applyFont="1" applyFill="1" applyBorder="1" applyAlignment="1">
      <alignment horizontal="left"/>
    </xf>
    <xf numFmtId="204" fontId="76" fillId="32" borderId="0" xfId="0" applyNumberFormat="1" applyFont="1" applyFill="1"/>
    <xf numFmtId="204" fontId="72" fillId="32" borderId="27" xfId="187" applyNumberFormat="1" applyFont="1" applyFill="1" applyBorder="1" applyProtection="1"/>
    <xf numFmtId="167" fontId="79" fillId="32" borderId="0" xfId="0" applyNumberFormat="1" applyFont="1" applyFill="1"/>
    <xf numFmtId="204" fontId="77" fillId="32" borderId="5" xfId="0" applyNumberFormat="1" applyFont="1" applyFill="1" applyBorder="1"/>
    <xf numFmtId="204" fontId="69" fillId="32" borderId="5" xfId="0" applyNumberFormat="1" applyFont="1" applyFill="1" applyBorder="1"/>
    <xf numFmtId="37" fontId="68" fillId="32" borderId="0" xfId="0" applyNumberFormat="1" applyFont="1" applyFill="1" applyAlignment="1">
      <alignment horizontal="right"/>
    </xf>
    <xf numFmtId="39" fontId="68" fillId="32" borderId="0" xfId="0" applyNumberFormat="1" applyFont="1" applyFill="1" applyAlignment="1">
      <alignment horizontal="right"/>
    </xf>
    <xf numFmtId="0" fontId="82" fillId="32" borderId="0" xfId="0" applyFont="1" applyFill="1" applyAlignment="1">
      <alignment vertical="center"/>
    </xf>
    <xf numFmtId="167" fontId="65" fillId="32" borderId="5" xfId="188" applyNumberFormat="1" applyFont="1" applyFill="1" applyBorder="1"/>
    <xf numFmtId="204" fontId="83" fillId="32" borderId="0" xfId="187" applyNumberFormat="1" applyFont="1" applyFill="1" applyBorder="1" applyAlignment="1" applyProtection="1">
      <alignment horizontal="right"/>
      <protection locked="0"/>
    </xf>
    <xf numFmtId="240" fontId="34" fillId="32" borderId="0" xfId="0" applyNumberFormat="1" applyFont="1" applyFill="1"/>
    <xf numFmtId="204" fontId="6" fillId="32" borderId="0" xfId="187" applyNumberFormat="1" applyFont="1" applyFill="1" applyBorder="1" applyAlignment="1" applyProtection="1">
      <alignment horizontal="right"/>
      <protection locked="0"/>
    </xf>
    <xf numFmtId="204" fontId="69" fillId="32" borderId="0" xfId="187" applyNumberFormat="1" applyFont="1" applyFill="1" applyBorder="1" applyProtection="1"/>
    <xf numFmtId="0" fontId="92" fillId="32" borderId="0" xfId="0" applyFont="1" applyFill="1"/>
    <xf numFmtId="0" fontId="83" fillId="32" borderId="0" xfId="0" applyFont="1" applyFill="1"/>
    <xf numFmtId="0" fontId="95" fillId="32" borderId="0" xfId="0" applyFont="1" applyFill="1" applyAlignment="1">
      <alignment horizontal="centerContinuous"/>
    </xf>
    <xf numFmtId="0" fontId="93" fillId="32" borderId="0" xfId="0" applyFont="1" applyFill="1" applyAlignment="1">
      <alignment horizontal="centerContinuous"/>
    </xf>
    <xf numFmtId="0" fontId="92" fillId="32" borderId="0" xfId="0" applyFont="1" applyFill="1" applyAlignment="1">
      <alignment horizontal="centerContinuous"/>
    </xf>
    <xf numFmtId="0" fontId="92" fillId="32" borderId="5" xfId="0" applyFont="1" applyFill="1" applyBorder="1" applyAlignment="1">
      <alignment horizontal="centerContinuous"/>
    </xf>
    <xf numFmtId="204" fontId="92" fillId="32" borderId="0" xfId="0" applyNumberFormat="1" applyFont="1" applyFill="1"/>
    <xf numFmtId="204" fontId="99" fillId="32" borderId="0" xfId="0" applyNumberFormat="1" applyFont="1" applyFill="1"/>
    <xf numFmtId="0" fontId="92" fillId="32" borderId="5" xfId="0" applyFont="1" applyFill="1" applyBorder="1"/>
    <xf numFmtId="204" fontId="97" fillId="32" borderId="0" xfId="0" applyNumberFormat="1" applyFont="1" applyFill="1"/>
    <xf numFmtId="204" fontId="102" fillId="32" borderId="0" xfId="0" applyNumberFormat="1" applyFont="1" applyFill="1"/>
    <xf numFmtId="204" fontId="100" fillId="32" borderId="0" xfId="0" applyNumberFormat="1" applyFont="1" applyFill="1"/>
    <xf numFmtId="204" fontId="94" fillId="32" borderId="0" xfId="0" applyNumberFormat="1" applyFont="1" applyFill="1"/>
    <xf numFmtId="0" fontId="92" fillId="32" borderId="19" xfId="0" applyFont="1" applyFill="1" applyBorder="1" applyAlignment="1">
      <alignment horizontal="centerContinuous"/>
    </xf>
    <xf numFmtId="0" fontId="92" fillId="0" borderId="0" xfId="0" applyFont="1"/>
    <xf numFmtId="0" fontId="92" fillId="32" borderId="0" xfId="0" applyFont="1" applyFill="1" applyAlignment="1">
      <alignment vertical="center"/>
    </xf>
    <xf numFmtId="236" fontId="92" fillId="32" borderId="5" xfId="0" applyNumberFormat="1" applyFont="1" applyFill="1" applyBorder="1" applyAlignment="1">
      <alignment horizontal="left"/>
    </xf>
    <xf numFmtId="0" fontId="92" fillId="31" borderId="0" xfId="0" applyFont="1" applyFill="1"/>
    <xf numFmtId="14" fontId="92" fillId="31" borderId="0" xfId="0" applyNumberFormat="1" applyFont="1" applyFill="1"/>
    <xf numFmtId="0" fontId="106" fillId="32" borderId="0" xfId="0" applyFont="1" applyFill="1" applyAlignment="1">
      <alignment horizontal="centerContinuous"/>
    </xf>
    <xf numFmtId="0" fontId="83" fillId="32" borderId="5" xfId="0" applyFont="1" applyFill="1" applyBorder="1" applyAlignment="1">
      <alignment horizontal="centerContinuous"/>
    </xf>
    <xf numFmtId="204" fontId="83" fillId="32" borderId="0" xfId="0" applyNumberFormat="1" applyFont="1" applyFill="1"/>
    <xf numFmtId="0" fontId="83" fillId="32" borderId="0" xfId="0" applyFont="1" applyFill="1" applyAlignment="1">
      <alignment horizontal="left"/>
    </xf>
    <xf numFmtId="0" fontId="83" fillId="32" borderId="0" xfId="0" quotePrefix="1" applyFont="1" applyFill="1" applyAlignment="1">
      <alignment horizontal="left"/>
    </xf>
    <xf numFmtId="0" fontId="83" fillId="32" borderId="0" xfId="0" applyFont="1" applyFill="1" applyAlignment="1">
      <alignment horizontal="centerContinuous"/>
    </xf>
    <xf numFmtId="0" fontId="104" fillId="32" borderId="0" xfId="0" applyFont="1" applyFill="1"/>
    <xf numFmtId="0" fontId="62" fillId="32" borderId="0" xfId="0" applyFont="1" applyFill="1" applyAlignment="1">
      <alignment horizontal="centerContinuous"/>
    </xf>
    <xf numFmtId="0" fontId="63" fillId="32" borderId="0" xfId="0" applyFont="1" applyFill="1" applyAlignment="1">
      <alignment horizontal="centerContinuous"/>
    </xf>
    <xf numFmtId="167" fontId="83" fillId="32" borderId="0" xfId="0" applyNumberFormat="1" applyFont="1" applyFill="1"/>
    <xf numFmtId="204" fontId="83" fillId="32" borderId="5" xfId="187" applyNumberFormat="1" applyFont="1" applyFill="1" applyBorder="1" applyProtection="1"/>
    <xf numFmtId="204" fontId="83" fillId="32" borderId="0" xfId="187" applyNumberFormat="1" applyFont="1" applyFill="1" applyBorder="1" applyProtection="1"/>
    <xf numFmtId="204" fontId="69" fillId="32" borderId="5" xfId="187" applyNumberFormat="1" applyFont="1" applyFill="1" applyBorder="1" applyProtection="1"/>
    <xf numFmtId="228" fontId="83" fillId="32" borderId="0" xfId="187" applyNumberFormat="1" applyFont="1" applyFill="1" applyBorder="1" applyProtection="1"/>
    <xf numFmtId="0" fontId="83" fillId="32" borderId="22" xfId="0" applyFont="1" applyFill="1" applyBorder="1"/>
    <xf numFmtId="228" fontId="83" fillId="32" borderId="22" xfId="187" applyNumberFormat="1" applyFont="1" applyFill="1" applyBorder="1" applyProtection="1"/>
    <xf numFmtId="228" fontId="83" fillId="32" borderId="16" xfId="187" applyNumberFormat="1" applyFont="1" applyFill="1" applyBorder="1" applyProtection="1"/>
    <xf numFmtId="167" fontId="104" fillId="32" borderId="0" xfId="188" applyNumberFormat="1" applyFont="1" applyFill="1" applyBorder="1" applyProtection="1"/>
    <xf numFmtId="167" fontId="104" fillId="32" borderId="6" xfId="188" applyNumberFormat="1" applyFont="1" applyFill="1" applyBorder="1" applyProtection="1"/>
    <xf numFmtId="0" fontId="83" fillId="32" borderId="23" xfId="0" applyFont="1" applyFill="1" applyBorder="1"/>
    <xf numFmtId="0" fontId="83" fillId="32" borderId="24" xfId="0" applyFont="1" applyFill="1" applyBorder="1"/>
    <xf numFmtId="0" fontId="83" fillId="32" borderId="5" xfId="0" applyFont="1" applyFill="1" applyBorder="1"/>
    <xf numFmtId="204" fontId="83" fillId="32" borderId="0" xfId="187" applyNumberFormat="1" applyFont="1" applyFill="1" applyProtection="1"/>
    <xf numFmtId="37" fontId="83" fillId="32" borderId="0" xfId="187" applyNumberFormat="1" applyFont="1" applyFill="1" applyBorder="1" applyProtection="1"/>
    <xf numFmtId="37" fontId="83" fillId="32" borderId="0" xfId="187" applyNumberFormat="1" applyFont="1" applyFill="1" applyProtection="1"/>
    <xf numFmtId="204" fontId="69" fillId="32" borderId="0" xfId="187" applyNumberFormat="1" applyFont="1" applyFill="1" applyProtection="1"/>
    <xf numFmtId="237" fontId="83" fillId="32" borderId="0" xfId="187" applyNumberFormat="1" applyFont="1" applyFill="1" applyProtection="1"/>
    <xf numFmtId="206" fontId="83" fillId="32" borderId="0" xfId="187" applyNumberFormat="1" applyFont="1" applyFill="1" applyProtection="1"/>
    <xf numFmtId="231" fontId="83" fillId="32" borderId="5" xfId="0" applyNumberFormat="1" applyFont="1" applyFill="1" applyBorder="1"/>
    <xf numFmtId="0" fontId="83" fillId="32" borderId="0" xfId="0" applyFont="1" applyFill="1" applyAlignment="1">
      <alignment horizontal="right"/>
    </xf>
    <xf numFmtId="204" fontId="83" fillId="32" borderId="22" xfId="187" applyNumberFormat="1" applyFont="1" applyFill="1" applyBorder="1" applyProtection="1"/>
    <xf numFmtId="204" fontId="83" fillId="32" borderId="16" xfId="187" applyNumberFormat="1" applyFont="1" applyFill="1" applyBorder="1" applyProtection="1"/>
    <xf numFmtId="0" fontId="83" fillId="32" borderId="27" xfId="0" applyFont="1" applyFill="1" applyBorder="1"/>
    <xf numFmtId="204" fontId="107" fillId="32" borderId="0" xfId="0" applyNumberFormat="1" applyFont="1" applyFill="1"/>
    <xf numFmtId="204" fontId="83" fillId="32" borderId="5" xfId="0" applyNumberFormat="1" applyFont="1" applyFill="1" applyBorder="1"/>
    <xf numFmtId="7" fontId="83" fillId="32" borderId="0" xfId="0" applyNumberFormat="1" applyFont="1" applyFill="1"/>
    <xf numFmtId="10" fontId="70" fillId="32" borderId="0" xfId="188" applyNumberFormat="1" applyFont="1" applyFill="1" applyBorder="1" applyAlignment="1">
      <alignment horizontal="center"/>
    </xf>
    <xf numFmtId="10" fontId="70" fillId="32" borderId="39" xfId="188" applyNumberFormat="1" applyFont="1" applyFill="1" applyBorder="1" applyProtection="1"/>
    <xf numFmtId="10" fontId="70" fillId="32" borderId="0" xfId="188" applyNumberFormat="1" applyFont="1" applyFill="1" applyBorder="1" applyProtection="1"/>
    <xf numFmtId="10" fontId="70" fillId="32" borderId="40" xfId="188" applyNumberFormat="1" applyFont="1" applyFill="1" applyBorder="1" applyProtection="1"/>
    <xf numFmtId="10" fontId="6" fillId="32" borderId="0" xfId="188" applyNumberFormat="1" applyFont="1" applyFill="1" applyBorder="1" applyProtection="1"/>
    <xf numFmtId="10" fontId="83" fillId="32" borderId="0" xfId="188" applyNumberFormat="1" applyFont="1" applyFill="1"/>
    <xf numFmtId="14" fontId="108" fillId="32" borderId="0" xfId="0" applyNumberFormat="1" applyFont="1" applyFill="1" applyAlignment="1">
      <alignment horizontal="left"/>
    </xf>
    <xf numFmtId="14" fontId="70" fillId="32" borderId="0" xfId="190" applyNumberFormat="1" applyFont="1" applyFill="1" applyAlignment="1">
      <alignment horizontal="right"/>
    </xf>
    <xf numFmtId="7" fontId="109" fillId="32" borderId="0" xfId="0" applyNumberFormat="1" applyFont="1" applyFill="1" applyAlignment="1">
      <alignment horizontal="right"/>
    </xf>
    <xf numFmtId="238" fontId="107" fillId="32" borderId="0" xfId="0" applyNumberFormat="1" applyFont="1" applyFill="1" applyAlignment="1">
      <alignment horizontal="center"/>
    </xf>
    <xf numFmtId="239" fontId="107" fillId="32" borderId="0" xfId="0" applyNumberFormat="1" applyFont="1" applyFill="1" applyAlignment="1">
      <alignment horizontal="center"/>
    </xf>
    <xf numFmtId="0" fontId="112" fillId="32" borderId="0" xfId="0" applyFont="1" applyFill="1"/>
    <xf numFmtId="14" fontId="70" fillId="32" borderId="0" xfId="0" applyNumberFormat="1" applyFont="1" applyFill="1" applyAlignment="1">
      <alignment horizontal="right"/>
    </xf>
    <xf numFmtId="14" fontId="110" fillId="32" borderId="0" xfId="0" applyNumberFormat="1" applyFont="1" applyFill="1"/>
    <xf numFmtId="169" fontId="109" fillId="32" borderId="0" xfId="0" applyNumberFormat="1" applyFont="1" applyFill="1" applyAlignment="1">
      <alignment horizontal="right"/>
    </xf>
    <xf numFmtId="0" fontId="110" fillId="32" borderId="0" xfId="0" applyFont="1" applyFill="1"/>
    <xf numFmtId="204" fontId="109" fillId="32" borderId="0" xfId="0" applyNumberFormat="1" applyFont="1" applyFill="1"/>
    <xf numFmtId="204" fontId="110" fillId="32" borderId="0" xfId="0" applyNumberFormat="1" applyFont="1" applyFill="1"/>
    <xf numFmtId="167" fontId="70" fillId="32" borderId="0" xfId="0" applyNumberFormat="1" applyFont="1" applyFill="1"/>
    <xf numFmtId="225" fontId="70" fillId="32" borderId="0" xfId="0" applyNumberFormat="1" applyFont="1" applyFill="1"/>
    <xf numFmtId="204" fontId="110" fillId="32" borderId="0" xfId="0" applyNumberFormat="1" applyFont="1" applyFill="1" applyAlignment="1">
      <alignment horizontal="right"/>
    </xf>
    <xf numFmtId="164" fontId="112" fillId="32" borderId="0" xfId="0" applyNumberFormat="1" applyFont="1" applyFill="1"/>
    <xf numFmtId="165" fontId="112" fillId="32" borderId="0" xfId="0" applyNumberFormat="1" applyFont="1" applyFill="1"/>
    <xf numFmtId="14" fontId="104" fillId="32" borderId="0" xfId="0" applyNumberFormat="1" applyFont="1" applyFill="1"/>
    <xf numFmtId="166" fontId="108" fillId="32" borderId="0" xfId="0" applyNumberFormat="1" applyFont="1" applyFill="1"/>
    <xf numFmtId="204" fontId="112" fillId="32" borderId="0" xfId="0" applyNumberFormat="1" applyFont="1" applyFill="1"/>
    <xf numFmtId="204" fontId="115" fillId="32" borderId="0" xfId="0" applyNumberFormat="1" applyFont="1" applyFill="1"/>
    <xf numFmtId="10" fontId="110" fillId="32" borderId="0" xfId="0" applyNumberFormat="1" applyFont="1" applyFill="1"/>
    <xf numFmtId="204" fontId="104" fillId="32" borderId="0" xfId="0" applyNumberFormat="1" applyFont="1" applyFill="1"/>
    <xf numFmtId="10" fontId="111" fillId="32" borderId="0" xfId="0" applyNumberFormat="1" applyFont="1" applyFill="1" applyAlignment="1">
      <alignment horizontal="right"/>
    </xf>
    <xf numFmtId="10" fontId="70" fillId="32" borderId="0" xfId="0" applyNumberFormat="1" applyFont="1" applyFill="1" applyAlignment="1">
      <alignment horizontal="right"/>
    </xf>
    <xf numFmtId="165" fontId="107" fillId="32" borderId="0" xfId="0" applyNumberFormat="1" applyFont="1" applyFill="1"/>
    <xf numFmtId="204" fontId="70" fillId="32" borderId="5" xfId="187" applyNumberFormat="1" applyFont="1" applyFill="1" applyBorder="1" applyAlignment="1" applyProtection="1">
      <alignment horizontal="right"/>
    </xf>
    <xf numFmtId="204" fontId="70" fillId="32" borderId="0" xfId="0" applyNumberFormat="1" applyFont="1" applyFill="1"/>
    <xf numFmtId="204" fontId="70" fillId="32" borderId="0" xfId="187" applyNumberFormat="1" applyFont="1" applyFill="1" applyProtection="1"/>
    <xf numFmtId="204" fontId="110" fillId="32" borderId="0" xfId="187" applyNumberFormat="1" applyFont="1" applyFill="1" applyBorder="1" applyAlignment="1" applyProtection="1">
      <alignment horizontal="right"/>
      <protection locked="0"/>
    </xf>
    <xf numFmtId="167" fontId="115" fillId="32" borderId="28" xfId="0" applyNumberFormat="1" applyFont="1" applyFill="1" applyBorder="1"/>
    <xf numFmtId="10" fontId="70" fillId="32" borderId="0" xfId="188" applyNumberFormat="1" applyFont="1" applyFill="1"/>
    <xf numFmtId="204" fontId="78" fillId="32" borderId="0" xfId="0" applyNumberFormat="1" applyFont="1" applyFill="1"/>
    <xf numFmtId="204" fontId="69" fillId="32" borderId="0" xfId="0" applyNumberFormat="1" applyFont="1" applyFill="1"/>
    <xf numFmtId="204" fontId="83" fillId="32" borderId="0" xfId="0" applyNumberFormat="1" applyFont="1" applyFill="1" applyAlignment="1">
      <alignment horizontal="center"/>
    </xf>
    <xf numFmtId="167" fontId="70" fillId="32" borderId="0" xfId="188" applyNumberFormat="1" applyFont="1" applyFill="1"/>
    <xf numFmtId="169" fontId="69" fillId="32" borderId="0" xfId="0" applyNumberFormat="1" applyFont="1" applyFill="1" applyAlignment="1">
      <alignment horizontal="right"/>
    </xf>
    <xf numFmtId="240" fontId="68" fillId="32" borderId="0" xfId="187" applyNumberFormat="1" applyFont="1" applyFill="1" applyProtection="1"/>
    <xf numFmtId="0" fontId="0" fillId="0" borderId="0" xfId="0" applyAlignment="1">
      <alignment vertical="center"/>
    </xf>
    <xf numFmtId="0" fontId="34" fillId="32" borderId="0" xfId="0" applyFont="1" applyFill="1" applyAlignment="1">
      <alignment vertical="center"/>
    </xf>
    <xf numFmtId="0" fontId="121" fillId="32" borderId="0" xfId="0" applyFont="1" applyFill="1" applyAlignment="1">
      <alignment vertical="center"/>
    </xf>
    <xf numFmtId="0" fontId="121" fillId="32" borderId="0" xfId="0" applyFont="1" applyFill="1"/>
    <xf numFmtId="232" fontId="68" fillId="32" borderId="30" xfId="0" applyNumberFormat="1" applyFont="1" applyFill="1" applyBorder="1"/>
    <xf numFmtId="232" fontId="68" fillId="32" borderId="31" xfId="0" applyNumberFormat="1" applyFont="1" applyFill="1" applyBorder="1"/>
    <xf numFmtId="240" fontId="83" fillId="32" borderId="0" xfId="0" applyNumberFormat="1" applyFont="1" applyFill="1"/>
    <xf numFmtId="0" fontId="122" fillId="32" borderId="0" xfId="0" applyFont="1" applyFill="1"/>
    <xf numFmtId="168" fontId="34" fillId="32" borderId="0" xfId="187" applyNumberFormat="1" applyFont="1" applyFill="1" applyBorder="1" applyProtection="1"/>
    <xf numFmtId="204" fontId="70" fillId="32" borderId="5" xfId="187" applyNumberFormat="1" applyFont="1" applyFill="1" applyBorder="1" applyProtection="1">
      <protection locked="0"/>
    </xf>
    <xf numFmtId="245" fontId="70" fillId="32" borderId="0" xfId="193" applyNumberFormat="1" applyFont="1" applyFill="1" applyBorder="1" applyProtection="1">
      <protection locked="0"/>
    </xf>
    <xf numFmtId="245" fontId="70" fillId="32" borderId="39" xfId="193" applyNumberFormat="1" applyFont="1" applyFill="1" applyBorder="1" applyProtection="1">
      <protection locked="0"/>
    </xf>
    <xf numFmtId="245" fontId="70" fillId="32" borderId="40" xfId="193" applyNumberFormat="1" applyFont="1" applyFill="1" applyBorder="1" applyProtection="1">
      <protection locked="0"/>
    </xf>
    <xf numFmtId="204" fontId="69" fillId="32" borderId="0" xfId="187" applyNumberFormat="1" applyFont="1" applyFill="1" applyProtection="1">
      <protection locked="0"/>
    </xf>
    <xf numFmtId="226" fontId="34" fillId="32" borderId="0" xfId="0" applyNumberFormat="1" applyFont="1" applyFill="1" applyAlignment="1" applyProtection="1">
      <alignment horizontal="center" vertical="center"/>
      <protection locked="0"/>
    </xf>
    <xf numFmtId="244" fontId="34" fillId="32" borderId="0" xfId="0" applyNumberFormat="1" applyFont="1" applyFill="1" applyAlignment="1" applyProtection="1">
      <alignment horizontal="center" vertical="center"/>
      <protection locked="0"/>
    </xf>
    <xf numFmtId="204" fontId="70" fillId="32" borderId="0" xfId="0" applyNumberFormat="1" applyFont="1" applyFill="1" applyProtection="1">
      <protection locked="0"/>
    </xf>
    <xf numFmtId="204" fontId="83" fillId="32" borderId="0" xfId="0" applyNumberFormat="1" applyFont="1" applyFill="1" applyProtection="1">
      <protection locked="0"/>
    </xf>
    <xf numFmtId="204" fontId="70" fillId="32" borderId="0" xfId="0" applyNumberFormat="1" applyFont="1" applyFill="1" applyAlignment="1">
      <alignment horizontal="right"/>
    </xf>
    <xf numFmtId="7" fontId="69" fillId="32" borderId="6" xfId="0" applyNumberFormat="1" applyFont="1" applyFill="1" applyBorder="1"/>
    <xf numFmtId="169" fontId="70" fillId="32" borderId="0" xfId="0" applyNumberFormat="1" applyFont="1" applyFill="1" applyProtection="1">
      <protection locked="0"/>
    </xf>
    <xf numFmtId="204" fontId="70" fillId="32" borderId="0" xfId="187" applyNumberFormat="1" applyFont="1" applyFill="1" applyBorder="1" applyAlignment="1" applyProtection="1">
      <alignment horizontal="right"/>
      <protection locked="0"/>
    </xf>
    <xf numFmtId="0" fontId="110" fillId="32" borderId="0" xfId="0" applyFont="1" applyFill="1" applyAlignment="1">
      <alignment horizontal="left"/>
    </xf>
    <xf numFmtId="37" fontId="92" fillId="31" borderId="0" xfId="0" applyNumberFormat="1" applyFont="1" applyFill="1"/>
    <xf numFmtId="206" fontId="92" fillId="31" borderId="0" xfId="187" applyNumberFormat="1" applyFont="1" applyFill="1"/>
    <xf numFmtId="169" fontId="69" fillId="32" borderId="0" xfId="0" applyNumberFormat="1" applyFont="1" applyFill="1"/>
    <xf numFmtId="169" fontId="83" fillId="32" borderId="0" xfId="0" applyNumberFormat="1" applyFont="1" applyFill="1"/>
    <xf numFmtId="204" fontId="6" fillId="32" borderId="0" xfId="0" applyNumberFormat="1" applyFont="1" applyFill="1" applyAlignment="1">
      <alignment horizontal="right"/>
    </xf>
    <xf numFmtId="226" fontId="81" fillId="32" borderId="0" xfId="0" applyNumberFormat="1" applyFont="1" applyFill="1" applyAlignment="1" applyProtection="1">
      <alignment horizontal="center" vertical="center"/>
      <protection locked="0"/>
    </xf>
    <xf numFmtId="10" fontId="83" fillId="32" borderId="0" xfId="189" applyNumberFormat="1" applyFont="1" applyFill="1" applyBorder="1"/>
    <xf numFmtId="167" fontId="70" fillId="32" borderId="5" xfId="0" applyNumberFormat="1" applyFont="1" applyFill="1" applyBorder="1"/>
    <xf numFmtId="204" fontId="107" fillId="32" borderId="5" xfId="0" applyNumberFormat="1" applyFont="1" applyFill="1" applyBorder="1"/>
    <xf numFmtId="7" fontId="68" fillId="32" borderId="0" xfId="0" applyNumberFormat="1" applyFont="1" applyFill="1"/>
    <xf numFmtId="167" fontId="6" fillId="32" borderId="0" xfId="0" applyNumberFormat="1" applyFont="1" applyFill="1" applyAlignment="1">
      <alignment horizontal="right"/>
    </xf>
    <xf numFmtId="169" fontId="70" fillId="32" borderId="0" xfId="0" applyNumberFormat="1" applyFont="1" applyFill="1" applyAlignment="1">
      <alignment horizontal="right"/>
    </xf>
    <xf numFmtId="204" fontId="6" fillId="32" borderId="0" xfId="0" applyNumberFormat="1" applyFont="1" applyFill="1"/>
    <xf numFmtId="204" fontId="68" fillId="32" borderId="0" xfId="0" applyNumberFormat="1" applyFont="1" applyFill="1"/>
    <xf numFmtId="204" fontId="68" fillId="32" borderId="1" xfId="0" applyNumberFormat="1" applyFont="1" applyFill="1" applyBorder="1"/>
    <xf numFmtId="167" fontId="83" fillId="32" borderId="0" xfId="0" applyNumberFormat="1" applyFont="1" applyFill="1" applyAlignment="1">
      <alignment horizontal="right"/>
    </xf>
    <xf numFmtId="167" fontId="110" fillId="32" borderId="0" xfId="0" applyNumberFormat="1" applyFont="1" applyFill="1" applyAlignment="1">
      <alignment horizontal="right"/>
    </xf>
    <xf numFmtId="167" fontId="70" fillId="32" borderId="0" xfId="0" applyNumberFormat="1" applyFont="1" applyFill="1" applyAlignment="1">
      <alignment horizontal="right"/>
    </xf>
    <xf numFmtId="0" fontId="92" fillId="32" borderId="27" xfId="0" applyFont="1" applyFill="1" applyBorder="1"/>
    <xf numFmtId="14" fontId="100" fillId="31" borderId="0" xfId="0" applyNumberFormat="1" applyFont="1" applyFill="1" applyAlignment="1">
      <alignment horizontal="left"/>
    </xf>
    <xf numFmtId="0" fontId="134" fillId="32" borderId="19" xfId="0" applyFont="1" applyFill="1" applyBorder="1" applyAlignment="1">
      <alignment horizontal="centerContinuous"/>
    </xf>
    <xf numFmtId="0" fontId="110" fillId="32" borderId="23" xfId="0" applyFont="1" applyFill="1" applyBorder="1"/>
    <xf numFmtId="0" fontId="110" fillId="32" borderId="0" xfId="0" quotePrefix="1" applyFont="1" applyFill="1" applyAlignment="1">
      <alignment horizontal="left"/>
    </xf>
    <xf numFmtId="0" fontId="108" fillId="32" borderId="0" xfId="0" applyFont="1" applyFill="1"/>
    <xf numFmtId="0" fontId="134" fillId="32" borderId="0" xfId="0" applyFont="1" applyFill="1" applyAlignment="1">
      <alignment horizontal="centerContinuous"/>
    </xf>
    <xf numFmtId="0" fontId="138" fillId="32" borderId="5" xfId="0" applyFont="1" applyFill="1" applyBorder="1" applyAlignment="1">
      <alignment horizontal="centerContinuous"/>
    </xf>
    <xf numFmtId="10" fontId="112" fillId="32" borderId="26" xfId="188" applyNumberFormat="1" applyFont="1" applyFill="1" applyBorder="1" applyAlignment="1">
      <alignment vertical="center"/>
    </xf>
    <xf numFmtId="10" fontId="112" fillId="32" borderId="8" xfId="188" applyNumberFormat="1" applyFont="1" applyFill="1" applyBorder="1" applyAlignment="1">
      <alignment vertical="center"/>
    </xf>
    <xf numFmtId="10" fontId="110" fillId="32" borderId="36" xfId="188" applyNumberFormat="1" applyFont="1" applyFill="1" applyBorder="1" applyProtection="1"/>
    <xf numFmtId="10" fontId="110" fillId="32" borderId="37" xfId="188" applyNumberFormat="1" applyFont="1" applyFill="1" applyBorder="1" applyProtection="1"/>
    <xf numFmtId="10" fontId="110" fillId="32" borderId="38" xfId="188" applyNumberFormat="1" applyFont="1" applyFill="1" applyBorder="1"/>
    <xf numFmtId="10" fontId="110" fillId="32" borderId="41" xfId="188" applyNumberFormat="1" applyFont="1" applyFill="1" applyBorder="1" applyProtection="1"/>
    <xf numFmtId="10" fontId="110" fillId="32" borderId="33" xfId="188" applyNumberFormat="1" applyFont="1" applyFill="1" applyBorder="1" applyProtection="1"/>
    <xf numFmtId="10" fontId="110" fillId="32" borderId="42" xfId="188" applyNumberFormat="1" applyFont="1" applyFill="1" applyBorder="1" applyProtection="1"/>
    <xf numFmtId="245" fontId="112" fillId="32" borderId="8" xfId="193" applyNumberFormat="1" applyFont="1" applyFill="1" applyBorder="1" applyProtection="1">
      <protection locked="0"/>
    </xf>
    <xf numFmtId="245" fontId="110" fillId="32" borderId="36" xfId="193" applyNumberFormat="1" applyFont="1" applyFill="1" applyBorder="1" applyProtection="1">
      <protection locked="0"/>
    </xf>
    <xf numFmtId="245" fontId="110" fillId="32" borderId="37" xfId="193" applyNumberFormat="1" applyFont="1" applyFill="1" applyBorder="1" applyProtection="1">
      <protection locked="0"/>
    </xf>
    <xf numFmtId="245" fontId="110" fillId="32" borderId="38" xfId="193" applyNumberFormat="1" applyFont="1" applyFill="1" applyBorder="1" applyProtection="1">
      <protection locked="0"/>
    </xf>
    <xf numFmtId="245" fontId="110" fillId="32" borderId="41" xfId="193" applyNumberFormat="1" applyFont="1" applyFill="1" applyBorder="1" applyProtection="1">
      <protection locked="0"/>
    </xf>
    <xf numFmtId="245" fontId="110" fillId="32" borderId="33" xfId="193" applyNumberFormat="1" applyFont="1" applyFill="1" applyBorder="1" applyProtection="1">
      <protection locked="0"/>
    </xf>
    <xf numFmtId="245" fontId="110" fillId="32" borderId="42" xfId="193" applyNumberFormat="1" applyFont="1" applyFill="1" applyBorder="1" applyProtection="1">
      <protection locked="0"/>
    </xf>
    <xf numFmtId="0" fontId="139" fillId="32" borderId="0" xfId="0" applyFont="1" applyFill="1"/>
    <xf numFmtId="0" fontId="137" fillId="32" borderId="19" xfId="0" applyFont="1" applyFill="1" applyBorder="1" applyAlignment="1">
      <alignment horizontal="centerContinuous"/>
    </xf>
    <xf numFmtId="0" fontId="108" fillId="32" borderId="0" xfId="0" quotePrefix="1" applyFont="1" applyFill="1"/>
    <xf numFmtId="226" fontId="112" fillId="32" borderId="0" xfId="0" quotePrefix="1" applyNumberFormat="1" applyFont="1" applyFill="1" applyAlignment="1">
      <alignment horizontal="right"/>
    </xf>
    <xf numFmtId="1" fontId="112" fillId="32" borderId="0" xfId="0" quotePrefix="1" applyNumberFormat="1" applyFont="1" applyFill="1" applyAlignment="1">
      <alignment horizontal="right"/>
    </xf>
    <xf numFmtId="204" fontId="110" fillId="32" borderId="0" xfId="187" applyNumberFormat="1" applyFont="1" applyFill="1" applyBorder="1" applyAlignment="1" applyProtection="1">
      <alignment horizontal="right"/>
    </xf>
    <xf numFmtId="10" fontId="110" fillId="32" borderId="0" xfId="188" applyNumberFormat="1" applyFont="1" applyFill="1"/>
    <xf numFmtId="204" fontId="70" fillId="32" borderId="5" xfId="187" applyNumberFormat="1" applyFont="1" applyFill="1" applyBorder="1" applyProtection="1"/>
    <xf numFmtId="204" fontId="110" fillId="32" borderId="5" xfId="187" applyNumberFormat="1" applyFont="1" applyFill="1" applyBorder="1" applyAlignment="1" applyProtection="1">
      <alignment horizontal="right"/>
    </xf>
    <xf numFmtId="0" fontId="112" fillId="32" borderId="0" xfId="0" quotePrefix="1" applyFont="1" applyFill="1" applyAlignment="1">
      <alignment horizontal="left"/>
    </xf>
    <xf numFmtId="204" fontId="110" fillId="32" borderId="5" xfId="187" applyNumberFormat="1" applyFont="1" applyFill="1" applyBorder="1" applyProtection="1"/>
    <xf numFmtId="0" fontId="112" fillId="32" borderId="0" xfId="0" applyFont="1" applyFill="1" applyAlignment="1">
      <alignment horizontal="left"/>
    </xf>
    <xf numFmtId="204" fontId="110" fillId="32" borderId="0" xfId="187" applyNumberFormat="1" applyFont="1" applyFill="1" applyBorder="1" applyProtection="1"/>
    <xf numFmtId="6" fontId="112" fillId="32" borderId="0" xfId="0" quotePrefix="1" applyNumberFormat="1" applyFont="1" applyFill="1" applyAlignment="1">
      <alignment horizontal="left"/>
    </xf>
    <xf numFmtId="204" fontId="112" fillId="32" borderId="0" xfId="187" applyNumberFormat="1" applyFont="1" applyFill="1" applyBorder="1" applyProtection="1"/>
    <xf numFmtId="0" fontId="112" fillId="32" borderId="21" xfId="0" applyFont="1" applyFill="1" applyBorder="1"/>
    <xf numFmtId="167" fontId="108" fillId="32" borderId="0" xfId="188" applyNumberFormat="1" applyFont="1" applyFill="1" applyBorder="1" applyProtection="1"/>
    <xf numFmtId="167" fontId="108" fillId="32" borderId="6" xfId="188" applyNumberFormat="1" applyFont="1" applyFill="1" applyBorder="1" applyProtection="1"/>
    <xf numFmtId="229" fontId="108" fillId="32" borderId="0" xfId="0" applyNumberFormat="1" applyFont="1" applyFill="1"/>
    <xf numFmtId="229" fontId="108" fillId="32" borderId="6" xfId="0" applyNumberFormat="1" applyFont="1" applyFill="1" applyBorder="1"/>
    <xf numFmtId="0" fontId="110" fillId="32" borderId="5" xfId="0" applyFont="1" applyFill="1" applyBorder="1"/>
    <xf numFmtId="167" fontId="108" fillId="32" borderId="5" xfId="188" applyNumberFormat="1" applyFont="1" applyFill="1" applyBorder="1"/>
    <xf numFmtId="167" fontId="108" fillId="32" borderId="25" xfId="188" applyNumberFormat="1" applyFont="1" applyFill="1" applyBorder="1"/>
    <xf numFmtId="204" fontId="110" fillId="32" borderId="0" xfId="187" applyNumberFormat="1" applyFont="1" applyFill="1" applyProtection="1">
      <protection locked="0"/>
    </xf>
    <xf numFmtId="204" fontId="110" fillId="32" borderId="0" xfId="187" applyNumberFormat="1" applyFont="1" applyFill="1" applyProtection="1"/>
    <xf numFmtId="204" fontId="110" fillId="32" borderId="0" xfId="187" applyNumberFormat="1" applyFont="1" applyFill="1" applyBorder="1" applyProtection="1">
      <protection locked="0"/>
    </xf>
    <xf numFmtId="204" fontId="112" fillId="32" borderId="0" xfId="187" applyNumberFormat="1" applyFont="1" applyFill="1" applyProtection="1"/>
    <xf numFmtId="0" fontId="110" fillId="32" borderId="21" xfId="0" applyFont="1" applyFill="1" applyBorder="1"/>
    <xf numFmtId="0" fontId="110" fillId="32" borderId="24" xfId="0" applyFont="1" applyFill="1" applyBorder="1" applyAlignment="1">
      <alignment horizontal="left"/>
    </xf>
    <xf numFmtId="240" fontId="110" fillId="32" borderId="58" xfId="0" applyNumberFormat="1" applyFont="1" applyFill="1" applyBorder="1"/>
    <xf numFmtId="240" fontId="110" fillId="32" borderId="59" xfId="0" applyNumberFormat="1" applyFont="1" applyFill="1" applyBorder="1"/>
    <xf numFmtId="204" fontId="135" fillId="32" borderId="27" xfId="187" applyNumberFormat="1" applyFont="1" applyFill="1" applyBorder="1" applyProtection="1"/>
    <xf numFmtId="204" fontId="135" fillId="32" borderId="28" xfId="187" applyNumberFormat="1" applyFont="1" applyFill="1" applyBorder="1" applyProtection="1"/>
    <xf numFmtId="204" fontId="110" fillId="32" borderId="5" xfId="0" applyNumberFormat="1" applyFont="1" applyFill="1" applyBorder="1"/>
    <xf numFmtId="204" fontId="110" fillId="32" borderId="6" xfId="0" applyNumberFormat="1" applyFont="1" applyFill="1" applyBorder="1"/>
    <xf numFmtId="204" fontId="110" fillId="32" borderId="25" xfId="0" applyNumberFormat="1" applyFont="1" applyFill="1" applyBorder="1"/>
    <xf numFmtId="204" fontId="112" fillId="32" borderId="5" xfId="0" applyNumberFormat="1" applyFont="1" applyFill="1" applyBorder="1"/>
    <xf numFmtId="204" fontId="112" fillId="32" borderId="25" xfId="0" applyNumberFormat="1" applyFont="1" applyFill="1" applyBorder="1"/>
    <xf numFmtId="0" fontId="112" fillId="32" borderId="0" xfId="0" applyFont="1" applyFill="1" applyAlignment="1">
      <alignment horizontal="right"/>
    </xf>
    <xf numFmtId="7" fontId="110" fillId="32" borderId="0" xfId="0" applyNumberFormat="1" applyFont="1" applyFill="1"/>
    <xf numFmtId="7" fontId="69" fillId="32" borderId="0" xfId="0" applyNumberFormat="1" applyFont="1" applyFill="1"/>
    <xf numFmtId="14" fontId="69" fillId="32" borderId="0" xfId="0" applyNumberFormat="1" applyFont="1" applyFill="1" applyAlignment="1">
      <alignment horizontal="right"/>
    </xf>
    <xf numFmtId="14" fontId="108" fillId="32" borderId="0" xfId="190" applyNumberFormat="1" applyFont="1" applyFill="1" applyAlignment="1">
      <alignment horizontal="right"/>
    </xf>
    <xf numFmtId="167" fontId="112" fillId="32" borderId="34" xfId="188" applyNumberFormat="1" applyFont="1" applyFill="1" applyBorder="1" applyProtection="1">
      <protection locked="0"/>
    </xf>
    <xf numFmtId="167" fontId="110" fillId="32" borderId="0" xfId="188" applyNumberFormat="1" applyFont="1" applyFill="1" applyBorder="1" applyProtection="1">
      <protection locked="0"/>
    </xf>
    <xf numFmtId="14" fontId="110" fillId="32" borderId="0" xfId="0" applyNumberFormat="1" applyFont="1" applyFill="1" applyAlignment="1">
      <alignment horizontal="center"/>
    </xf>
    <xf numFmtId="239" fontId="110" fillId="32" borderId="0" xfId="0" applyNumberFormat="1" applyFont="1" applyFill="1"/>
    <xf numFmtId="14" fontId="110" fillId="32" borderId="0" xfId="0" applyNumberFormat="1" applyFont="1" applyFill="1" applyAlignment="1">
      <alignment horizontal="right"/>
    </xf>
    <xf numFmtId="169" fontId="110" fillId="32" borderId="6" xfId="0" applyNumberFormat="1" applyFont="1" applyFill="1" applyBorder="1" applyProtection="1">
      <protection locked="0"/>
    </xf>
    <xf numFmtId="245" fontId="110" fillId="32" borderId="0" xfId="193" applyNumberFormat="1" applyFont="1" applyFill="1" applyBorder="1" applyProtection="1">
      <protection locked="0"/>
    </xf>
    <xf numFmtId="245" fontId="110" fillId="32" borderId="6" xfId="193" applyNumberFormat="1" applyFont="1" applyFill="1" applyBorder="1" applyProtection="1">
      <protection locked="0"/>
    </xf>
    <xf numFmtId="169" fontId="110" fillId="32" borderId="0" xfId="0" applyNumberFormat="1" applyFont="1" applyFill="1"/>
    <xf numFmtId="7" fontId="70" fillId="32" borderId="0" xfId="0" applyNumberFormat="1" applyFont="1" applyFill="1"/>
    <xf numFmtId="204" fontId="70" fillId="32" borderId="1" xfId="0" applyNumberFormat="1" applyFont="1" applyFill="1" applyBorder="1"/>
    <xf numFmtId="247" fontId="112" fillId="32" borderId="1" xfId="0" applyNumberFormat="1" applyFont="1" applyFill="1" applyBorder="1" applyAlignment="1">
      <alignment horizontal="right"/>
    </xf>
    <xf numFmtId="247" fontId="112" fillId="32" borderId="0" xfId="0" applyNumberFormat="1" applyFont="1" applyFill="1" applyAlignment="1">
      <alignment horizontal="right" wrapText="1"/>
    </xf>
    <xf numFmtId="245" fontId="110" fillId="32" borderId="0" xfId="0" applyNumberFormat="1" applyFont="1" applyFill="1" applyAlignment="1">
      <alignment horizontal="right"/>
    </xf>
    <xf numFmtId="169" fontId="110" fillId="32" borderId="0" xfId="0" applyNumberFormat="1" applyFont="1" applyFill="1" applyAlignment="1">
      <alignment horizontal="center"/>
    </xf>
    <xf numFmtId="204" fontId="110" fillId="32" borderId="22" xfId="0" applyNumberFormat="1" applyFont="1" applyFill="1" applyBorder="1"/>
    <xf numFmtId="14" fontId="108" fillId="32" borderId="0" xfId="0" applyNumberFormat="1" applyFont="1" applyFill="1"/>
    <xf numFmtId="204" fontId="110" fillId="32" borderId="0" xfId="0" applyNumberFormat="1" applyFont="1" applyFill="1" applyAlignment="1">
      <alignment horizontal="center"/>
    </xf>
    <xf numFmtId="204" fontId="112" fillId="32" borderId="20" xfId="0" applyNumberFormat="1" applyFont="1" applyFill="1" applyBorder="1"/>
    <xf numFmtId="43" fontId="83" fillId="32" borderId="0" xfId="187" applyFont="1" applyFill="1" applyBorder="1" applyProtection="1"/>
    <xf numFmtId="168" fontId="83" fillId="32" borderId="0" xfId="187" applyNumberFormat="1" applyFont="1" applyFill="1" applyBorder="1" applyProtection="1"/>
    <xf numFmtId="168" fontId="108" fillId="32" borderId="0" xfId="188" applyNumberFormat="1" applyFont="1" applyFill="1" applyBorder="1" applyProtection="1"/>
    <xf numFmtId="168" fontId="108" fillId="32" borderId="6" xfId="188" applyNumberFormat="1" applyFont="1" applyFill="1" applyBorder="1" applyProtection="1"/>
    <xf numFmtId="169" fontId="108" fillId="32" borderId="0" xfId="187" applyNumberFormat="1" applyFont="1" applyFill="1" applyProtection="1"/>
    <xf numFmtId="168" fontId="70" fillId="32" borderId="0" xfId="187" applyNumberFormat="1" applyFont="1" applyFill="1" applyProtection="1">
      <protection locked="0"/>
    </xf>
    <xf numFmtId="169" fontId="108" fillId="32" borderId="0" xfId="0" applyNumberFormat="1" applyFont="1" applyFill="1"/>
    <xf numFmtId="168" fontId="83" fillId="32" borderId="22" xfId="187" applyNumberFormat="1" applyFont="1" applyFill="1" applyBorder="1" applyProtection="1"/>
    <xf numFmtId="168" fontId="73" fillId="32" borderId="0" xfId="187" applyNumberFormat="1" applyFont="1" applyFill="1" applyBorder="1" applyProtection="1"/>
    <xf numFmtId="168" fontId="83" fillId="32" borderId="5" xfId="187" applyNumberFormat="1" applyFont="1" applyFill="1" applyBorder="1" applyProtection="1"/>
    <xf numFmtId="204" fontId="71" fillId="32" borderId="0" xfId="187" applyNumberFormat="1" applyFont="1" applyFill="1" applyProtection="1"/>
    <xf numFmtId="0" fontId="120" fillId="32" borderId="0" xfId="0" applyFont="1" applyFill="1" applyAlignment="1">
      <alignment horizontal="centerContinuous"/>
    </xf>
    <xf numFmtId="0" fontId="110" fillId="32" borderId="57" xfId="0" applyFont="1" applyFill="1" applyBorder="1"/>
    <xf numFmtId="0" fontId="83" fillId="32" borderId="58" xfId="0" applyFont="1" applyFill="1" applyBorder="1"/>
    <xf numFmtId="204" fontId="110" fillId="32" borderId="0" xfId="187" applyNumberFormat="1" applyFont="1" applyFill="1" applyBorder="1" applyAlignment="1" applyProtection="1">
      <alignment horizontal="left"/>
    </xf>
    <xf numFmtId="204" fontId="70" fillId="32" borderId="0" xfId="187" applyNumberFormat="1" applyFont="1" applyFill="1" applyBorder="1" applyProtection="1"/>
    <xf numFmtId="204" fontId="112" fillId="32" borderId="20" xfId="187" applyNumberFormat="1" applyFont="1" applyFill="1" applyBorder="1" applyProtection="1"/>
    <xf numFmtId="0" fontId="34" fillId="32" borderId="0" xfId="0" applyFont="1" applyFill="1" applyAlignment="1">
      <alignment horizontal="right"/>
    </xf>
    <xf numFmtId="0" fontId="115" fillId="32" borderId="0" xfId="0" applyFont="1" applyFill="1"/>
    <xf numFmtId="167" fontId="108" fillId="32" borderId="0" xfId="188" applyNumberFormat="1" applyFont="1" applyFill="1"/>
    <xf numFmtId="0" fontId="112" fillId="32" borderId="26" xfId="0" applyFont="1" applyFill="1" applyBorder="1"/>
    <xf numFmtId="0" fontId="34" fillId="32" borderId="27" xfId="0" quotePrefix="1" applyFont="1" applyFill="1" applyBorder="1" applyAlignment="1">
      <alignment horizontal="left"/>
    </xf>
    <xf numFmtId="0" fontId="34" fillId="32" borderId="5" xfId="0" applyFont="1" applyFill="1" applyBorder="1" applyAlignment="1">
      <alignment horizontal="centerContinuous"/>
    </xf>
    <xf numFmtId="0" fontId="67" fillId="32" borderId="0" xfId="0" quotePrefix="1" applyFont="1" applyFill="1" applyAlignment="1">
      <alignment horizontal="right"/>
    </xf>
    <xf numFmtId="204" fontId="68" fillId="32" borderId="22" xfId="0" applyNumberFormat="1" applyFont="1" applyFill="1" applyBorder="1"/>
    <xf numFmtId="204" fontId="68" fillId="32" borderId="16" xfId="0" applyNumberFormat="1" applyFont="1" applyFill="1" applyBorder="1"/>
    <xf numFmtId="0" fontId="110" fillId="32" borderId="23" xfId="0" applyFont="1" applyFill="1" applyBorder="1" applyAlignment="1">
      <alignment horizontal="left"/>
    </xf>
    <xf numFmtId="0" fontId="112" fillId="32" borderId="24" xfId="0" applyFont="1" applyFill="1" applyBorder="1"/>
    <xf numFmtId="204" fontId="80" fillId="32" borderId="5" xfId="0" applyNumberFormat="1" applyFont="1" applyFill="1" applyBorder="1"/>
    <xf numFmtId="0" fontId="34" fillId="32" borderId="5" xfId="0" applyFont="1" applyFill="1" applyBorder="1"/>
    <xf numFmtId="0" fontId="74" fillId="32" borderId="5" xfId="0" applyFont="1" applyFill="1" applyBorder="1"/>
    <xf numFmtId="0" fontId="75" fillId="32" borderId="5" xfId="0" applyFont="1" applyFill="1" applyBorder="1" applyAlignment="1">
      <alignment horizontal="right"/>
    </xf>
    <xf numFmtId="0" fontId="67" fillId="32" borderId="5" xfId="0" quotePrefix="1" applyFont="1" applyFill="1" applyBorder="1" applyAlignment="1">
      <alignment horizontal="right"/>
    </xf>
    <xf numFmtId="0" fontId="34" fillId="32" borderId="5" xfId="0" quotePrefix="1" applyFont="1" applyFill="1" applyBorder="1" applyAlignment="1">
      <alignment horizontal="right"/>
    </xf>
    <xf numFmtId="0" fontId="34" fillId="32" borderId="0" xfId="0" quotePrefix="1" applyFont="1" applyFill="1" applyAlignment="1">
      <alignment horizontal="right"/>
    </xf>
    <xf numFmtId="0" fontId="112" fillId="0" borderId="0" xfId="0" applyFont="1"/>
    <xf numFmtId="0" fontId="70" fillId="32" borderId="0" xfId="0" applyFont="1" applyFill="1"/>
    <xf numFmtId="10" fontId="69" fillId="32" borderId="5" xfId="0" applyNumberFormat="1" applyFont="1" applyFill="1" applyBorder="1"/>
    <xf numFmtId="10" fontId="110" fillId="32" borderId="5" xfId="0" applyNumberFormat="1" applyFont="1" applyFill="1" applyBorder="1"/>
    <xf numFmtId="204" fontId="112" fillId="32" borderId="27" xfId="0" applyNumberFormat="1" applyFont="1" applyFill="1" applyBorder="1"/>
    <xf numFmtId="204" fontId="34" fillId="32" borderId="0" xfId="0" applyNumberFormat="1" applyFont="1" applyFill="1"/>
    <xf numFmtId="10" fontId="70" fillId="32" borderId="0" xfId="0" applyNumberFormat="1" applyFont="1" applyFill="1"/>
    <xf numFmtId="10" fontId="69" fillId="32" borderId="0" xfId="0" applyNumberFormat="1" applyFont="1" applyFill="1"/>
    <xf numFmtId="0" fontId="107" fillId="32" borderId="0" xfId="0" applyFont="1" applyFill="1" applyAlignment="1">
      <alignment horizontal="left" indent="2"/>
    </xf>
    <xf numFmtId="0" fontId="110" fillId="32" borderId="0" xfId="0" applyFont="1" applyFill="1" applyAlignment="1">
      <alignment horizontal="left" indent="1"/>
    </xf>
    <xf numFmtId="0" fontId="110" fillId="32" borderId="0" xfId="0" quotePrefix="1" applyFont="1" applyFill="1" applyAlignment="1">
      <alignment horizontal="left" indent="1"/>
    </xf>
    <xf numFmtId="0" fontId="112" fillId="32" borderId="0" xfId="0" applyFont="1" applyFill="1" applyAlignment="1">
      <alignment horizontal="left" indent="1"/>
    </xf>
    <xf numFmtId="10" fontId="69" fillId="32" borderId="0" xfId="188" applyNumberFormat="1" applyFont="1" applyFill="1"/>
    <xf numFmtId="0" fontId="110" fillId="32" borderId="0" xfId="0" applyFont="1" applyFill="1" applyAlignment="1">
      <alignment horizontal="left" indent="2"/>
    </xf>
    <xf numFmtId="0" fontId="135" fillId="32" borderId="0" xfId="0" applyFont="1" applyFill="1" applyAlignment="1">
      <alignment horizontal="left" indent="2"/>
    </xf>
    <xf numFmtId="0" fontId="108" fillId="32" borderId="0" xfId="0" applyFont="1" applyFill="1" applyAlignment="1">
      <alignment horizontal="left" indent="2"/>
    </xf>
    <xf numFmtId="0" fontId="135" fillId="32" borderId="0" xfId="0" applyFont="1" applyFill="1"/>
    <xf numFmtId="0" fontId="83" fillId="32" borderId="0" xfId="0" applyFont="1" applyFill="1" applyAlignment="1">
      <alignment horizontal="left" indent="1"/>
    </xf>
    <xf numFmtId="0" fontId="104" fillId="32" borderId="0" xfId="0" applyFont="1" applyFill="1" applyAlignment="1">
      <alignment horizontal="left" indent="2"/>
    </xf>
    <xf numFmtId="204" fontId="110" fillId="32" borderId="0" xfId="187" applyNumberFormat="1" applyFont="1" applyFill="1"/>
    <xf numFmtId="0" fontId="135" fillId="32" borderId="0" xfId="0" applyFont="1" applyFill="1" applyAlignment="1">
      <alignment horizontal="left"/>
    </xf>
    <xf numFmtId="0" fontId="107" fillId="32" borderId="0" xfId="0" applyFont="1" applyFill="1"/>
    <xf numFmtId="0" fontId="108" fillId="32" borderId="0" xfId="0" applyFont="1" applyFill="1" applyAlignment="1">
      <alignment horizontal="left" indent="1"/>
    </xf>
    <xf numFmtId="0" fontId="117" fillId="32" borderId="0" xfId="0" applyFont="1" applyFill="1" applyAlignment="1">
      <alignment horizontal="right"/>
    </xf>
    <xf numFmtId="0" fontId="104" fillId="32" borderId="0" xfId="0" applyFont="1" applyFill="1" applyAlignment="1">
      <alignment horizontal="left" indent="1"/>
    </xf>
    <xf numFmtId="0" fontId="135" fillId="32" borderId="0" xfId="0" applyFont="1" applyFill="1" applyAlignment="1">
      <alignment horizontal="right"/>
    </xf>
    <xf numFmtId="0" fontId="114" fillId="32" borderId="0" xfId="0" applyFont="1" applyFill="1" applyAlignment="1">
      <alignment horizontal="right"/>
    </xf>
    <xf numFmtId="245" fontId="110" fillId="32" borderId="0" xfId="0" applyNumberFormat="1" applyFont="1" applyFill="1" applyAlignment="1">
      <alignment horizontal="center"/>
    </xf>
    <xf numFmtId="0" fontId="107" fillId="32" borderId="0" xfId="0" applyFont="1" applyFill="1" applyAlignment="1">
      <alignment horizontal="left"/>
    </xf>
    <xf numFmtId="0" fontId="66" fillId="32" borderId="5" xfId="0" applyFont="1" applyFill="1" applyBorder="1" applyAlignment="1">
      <alignment horizontal="centerContinuous"/>
    </xf>
    <xf numFmtId="245" fontId="70" fillId="32" borderId="0" xfId="0" applyNumberFormat="1" applyFont="1" applyFill="1"/>
    <xf numFmtId="245" fontId="110" fillId="32" borderId="0" xfId="0" applyNumberFormat="1" applyFont="1" applyFill="1"/>
    <xf numFmtId="245" fontId="69" fillId="32" borderId="0" xfId="0" applyNumberFormat="1" applyFont="1" applyFill="1"/>
    <xf numFmtId="204" fontId="69" fillId="32" borderId="0" xfId="187" applyNumberFormat="1" applyFont="1" applyFill="1"/>
    <xf numFmtId="204" fontId="83" fillId="32" borderId="0" xfId="187" applyNumberFormat="1" applyFont="1" applyFill="1"/>
    <xf numFmtId="0" fontId="83" fillId="32" borderId="5" xfId="0" applyFont="1" applyFill="1" applyBorder="1" applyAlignment="1">
      <alignment horizontal="left" indent="1"/>
    </xf>
    <xf numFmtId="0" fontId="107" fillId="32" borderId="0" xfId="0" applyFont="1" applyFill="1" applyAlignment="1">
      <alignment horizontal="center"/>
    </xf>
    <xf numFmtId="245" fontId="83" fillId="32" borderId="0" xfId="0" applyNumberFormat="1" applyFont="1" applyFill="1" applyAlignment="1">
      <alignment horizontal="center"/>
    </xf>
    <xf numFmtId="10" fontId="83" fillId="32" borderId="0" xfId="0" applyNumberFormat="1" applyFont="1" applyFill="1" applyAlignment="1">
      <alignment horizontal="center"/>
    </xf>
    <xf numFmtId="0" fontId="83" fillId="32" borderId="0" xfId="0" applyFont="1" applyFill="1" applyAlignment="1">
      <alignment horizontal="center"/>
    </xf>
    <xf numFmtId="245" fontId="92" fillId="32" borderId="0" xfId="0" applyNumberFormat="1" applyFont="1" applyFill="1" applyAlignment="1">
      <alignment horizontal="center"/>
    </xf>
    <xf numFmtId="10" fontId="92" fillId="32" borderId="0" xfId="0" applyNumberFormat="1" applyFont="1" applyFill="1" applyAlignment="1">
      <alignment horizontal="center"/>
    </xf>
    <xf numFmtId="0" fontId="92" fillId="32" borderId="0" xfId="0" applyFont="1" applyFill="1" applyAlignment="1">
      <alignment horizontal="center"/>
    </xf>
    <xf numFmtId="0" fontId="93" fillId="32" borderId="0" xfId="0" applyFont="1" applyFill="1" applyAlignment="1">
      <alignment horizontal="center"/>
    </xf>
    <xf numFmtId="10" fontId="93" fillId="32" borderId="0" xfId="0" applyNumberFormat="1" applyFont="1" applyFill="1" applyAlignment="1">
      <alignment horizontal="center"/>
    </xf>
    <xf numFmtId="204" fontId="96" fillId="32" borderId="0" xfId="0" applyNumberFormat="1" applyFont="1" applyFill="1"/>
    <xf numFmtId="204" fontId="103" fillId="32" borderId="0" xfId="0" applyNumberFormat="1" applyFont="1" applyFill="1"/>
    <xf numFmtId="10" fontId="83" fillId="32" borderId="5" xfId="0" applyNumberFormat="1" applyFont="1" applyFill="1" applyBorder="1"/>
    <xf numFmtId="0" fontId="138" fillId="32" borderId="0" xfId="0" applyFont="1" applyFill="1" applyAlignment="1">
      <alignment horizontal="centerContinuous"/>
    </xf>
    <xf numFmtId="248" fontId="83" fillId="32" borderId="5" xfId="0" applyNumberFormat="1" applyFont="1" applyFill="1" applyBorder="1" applyAlignment="1">
      <alignment horizontal="center"/>
    </xf>
    <xf numFmtId="248" fontId="69" fillId="32" borderId="0" xfId="0" applyNumberFormat="1" applyFont="1" applyFill="1" applyAlignment="1">
      <alignment horizontal="center"/>
    </xf>
    <xf numFmtId="248" fontId="6" fillId="32" borderId="0" xfId="0" applyNumberFormat="1" applyFont="1" applyFill="1" applyAlignment="1">
      <alignment horizontal="centerContinuous"/>
    </xf>
    <xf numFmtId="0" fontId="6" fillId="32" borderId="0" xfId="0" applyFont="1" applyFill="1" applyAlignment="1">
      <alignment horizontal="centerContinuous"/>
    </xf>
    <xf numFmtId="248" fontId="6" fillId="32" borderId="0" xfId="0" applyNumberFormat="1" applyFont="1" applyFill="1" applyAlignment="1">
      <alignment horizontal="right"/>
    </xf>
    <xf numFmtId="248" fontId="70" fillId="32" borderId="0" xfId="0" applyNumberFormat="1" applyFont="1" applyFill="1" applyAlignment="1">
      <alignment horizontal="right"/>
    </xf>
    <xf numFmtId="248" fontId="83" fillId="32" borderId="0" xfId="0" applyNumberFormat="1" applyFont="1" applyFill="1" applyAlignment="1">
      <alignment horizontal="right"/>
    </xf>
    <xf numFmtId="10" fontId="83" fillId="32" borderId="0" xfId="188" applyNumberFormat="1" applyFont="1" applyFill="1" applyBorder="1"/>
    <xf numFmtId="0" fontId="104" fillId="32" borderId="0" xfId="0" applyFont="1" applyFill="1" applyAlignment="1">
      <alignment horizontal="centerContinuous"/>
    </xf>
    <xf numFmtId="10" fontId="104" fillId="32" borderId="0" xfId="188" applyNumberFormat="1" applyFont="1" applyFill="1" applyBorder="1" applyAlignment="1">
      <alignment horizontal="centerContinuous"/>
    </xf>
    <xf numFmtId="0" fontId="127" fillId="32" borderId="0" xfId="0" applyFont="1" applyFill="1" applyAlignment="1">
      <alignment horizontal="centerContinuous"/>
    </xf>
    <xf numFmtId="10" fontId="83" fillId="32" borderId="0" xfId="188" applyNumberFormat="1" applyFont="1" applyFill="1" applyBorder="1" applyAlignment="1">
      <alignment horizontal="centerContinuous"/>
    </xf>
    <xf numFmtId="10" fontId="110" fillId="32" borderId="0" xfId="0" applyNumberFormat="1" applyFont="1" applyFill="1" applyAlignment="1">
      <alignment horizontal="center"/>
    </xf>
    <xf numFmtId="10" fontId="110" fillId="32" borderId="0" xfId="188" applyNumberFormat="1" applyFont="1" applyFill="1" applyBorder="1"/>
    <xf numFmtId="10" fontId="107" fillId="32" borderId="0" xfId="188" applyNumberFormat="1" applyFont="1" applyFill="1" applyBorder="1"/>
    <xf numFmtId="7" fontId="83" fillId="32" borderId="0" xfId="0" applyNumberFormat="1" applyFont="1" applyFill="1" applyAlignment="1">
      <alignment horizontal="center"/>
    </xf>
    <xf numFmtId="10" fontId="104" fillId="32" borderId="0" xfId="0" applyNumberFormat="1" applyFont="1" applyFill="1" applyAlignment="1">
      <alignment horizontal="center"/>
    </xf>
    <xf numFmtId="10" fontId="104" fillId="32" borderId="0" xfId="0" applyNumberFormat="1" applyFont="1" applyFill="1"/>
    <xf numFmtId="0" fontId="104" fillId="32" borderId="0" xfId="0" applyFont="1" applyFill="1" applyAlignment="1">
      <alignment horizontal="center"/>
    </xf>
    <xf numFmtId="204" fontId="107" fillId="32" borderId="0" xfId="0" applyNumberFormat="1" applyFont="1" applyFill="1" applyAlignment="1">
      <alignment horizontal="center"/>
    </xf>
    <xf numFmtId="248" fontId="83" fillId="32" borderId="0" xfId="0" applyNumberFormat="1" applyFont="1" applyFill="1" applyAlignment="1">
      <alignment horizontal="center"/>
    </xf>
    <xf numFmtId="248" fontId="83" fillId="32" borderId="0" xfId="0" applyNumberFormat="1" applyFont="1" applyFill="1"/>
    <xf numFmtId="0" fontId="81" fillId="33" borderId="21" xfId="0" applyFont="1" applyFill="1" applyBorder="1" applyProtection="1">
      <protection locked="0"/>
    </xf>
    <xf numFmtId="0" fontId="85" fillId="33" borderId="22" xfId="0" applyFont="1" applyFill="1" applyBorder="1" applyAlignment="1" applyProtection="1">
      <alignment horizontal="right"/>
      <protection locked="0"/>
    </xf>
    <xf numFmtId="0" fontId="85" fillId="33" borderId="16" xfId="0" applyFont="1" applyFill="1" applyBorder="1" applyAlignment="1" applyProtection="1">
      <alignment horizontal="right"/>
      <protection locked="0"/>
    </xf>
    <xf numFmtId="0" fontId="83" fillId="32" borderId="0" xfId="0" applyFont="1" applyFill="1" applyProtection="1">
      <protection locked="0"/>
    </xf>
    <xf numFmtId="0" fontId="81" fillId="34" borderId="23" xfId="0" applyFont="1" applyFill="1" applyBorder="1" applyProtection="1">
      <protection locked="0"/>
    </xf>
    <xf numFmtId="0" fontId="85" fillId="34" borderId="0" xfId="0" applyFont="1" applyFill="1" applyAlignment="1" applyProtection="1">
      <alignment horizontal="right"/>
      <protection locked="0"/>
    </xf>
    <xf numFmtId="0" fontId="85" fillId="34" borderId="6" xfId="0" applyFont="1" applyFill="1" applyBorder="1" applyAlignment="1" applyProtection="1">
      <alignment horizontal="right"/>
      <protection locked="0"/>
    </xf>
    <xf numFmtId="0" fontId="108" fillId="32" borderId="23" xfId="0" applyFont="1" applyFill="1" applyBorder="1" applyAlignment="1" applyProtection="1">
      <alignment vertical="top"/>
      <protection locked="0"/>
    </xf>
    <xf numFmtId="0" fontId="83" fillId="32" borderId="6" xfId="0" applyFont="1" applyFill="1" applyBorder="1" applyProtection="1">
      <protection locked="0"/>
    </xf>
    <xf numFmtId="0" fontId="83" fillId="32" borderId="66" xfId="0" applyFont="1" applyFill="1" applyBorder="1" applyProtection="1">
      <protection locked="0"/>
    </xf>
    <xf numFmtId="0" fontId="107" fillId="32" borderId="0" xfId="0" applyFont="1" applyFill="1" applyAlignment="1" applyProtection="1">
      <alignment vertical="center" wrapText="1"/>
      <protection locked="0"/>
    </xf>
    <xf numFmtId="0" fontId="83" fillId="32" borderId="23" xfId="0" applyFont="1" applyFill="1" applyBorder="1" applyProtection="1">
      <protection locked="0"/>
    </xf>
    <xf numFmtId="0" fontId="83" fillId="32" borderId="0" xfId="0" applyFont="1" applyFill="1" applyAlignment="1" applyProtection="1">
      <alignment horizontal="right"/>
      <protection locked="0"/>
    </xf>
    <xf numFmtId="0" fontId="83" fillId="32" borderId="6" xfId="0" applyFont="1" applyFill="1" applyBorder="1" applyAlignment="1" applyProtection="1">
      <alignment horizontal="right"/>
      <protection locked="0"/>
    </xf>
    <xf numFmtId="0" fontId="83" fillId="32" borderId="23" xfId="0" applyFont="1" applyFill="1" applyBorder="1" applyAlignment="1" applyProtection="1">
      <alignment horizontal="right"/>
      <protection locked="0"/>
    </xf>
    <xf numFmtId="0" fontId="110" fillId="32" borderId="23" xfId="0" applyFont="1" applyFill="1" applyBorder="1" applyProtection="1">
      <protection locked="0"/>
    </xf>
    <xf numFmtId="7" fontId="70" fillId="32" borderId="0" xfId="0" applyNumberFormat="1" applyFont="1" applyFill="1" applyProtection="1">
      <protection locked="0"/>
    </xf>
    <xf numFmtId="7" fontId="69" fillId="32" borderId="6" xfId="0" applyNumberFormat="1" applyFont="1" applyFill="1" applyBorder="1" applyProtection="1">
      <protection locked="0"/>
    </xf>
    <xf numFmtId="0" fontId="110" fillId="32" borderId="23" xfId="0" applyFont="1" applyFill="1" applyBorder="1" applyAlignment="1" applyProtection="1">
      <alignment horizontal="right"/>
      <protection locked="0"/>
    </xf>
    <xf numFmtId="0" fontId="69" fillId="32" borderId="0" xfId="0" applyFont="1" applyFill="1" applyAlignment="1" applyProtection="1">
      <alignment horizontal="right"/>
      <protection locked="0"/>
    </xf>
    <xf numFmtId="204" fontId="69" fillId="32" borderId="0" xfId="0" applyNumberFormat="1" applyFont="1" applyFill="1" applyProtection="1">
      <protection locked="0"/>
    </xf>
    <xf numFmtId="204" fontId="69" fillId="32" borderId="6" xfId="0" applyNumberFormat="1" applyFont="1" applyFill="1" applyBorder="1" applyProtection="1">
      <protection locked="0"/>
    </xf>
    <xf numFmtId="0" fontId="69" fillId="32" borderId="5" xfId="0" applyFont="1" applyFill="1" applyBorder="1" applyAlignment="1" applyProtection="1">
      <alignment horizontal="right"/>
      <protection locked="0"/>
    </xf>
    <xf numFmtId="204" fontId="69" fillId="32" borderId="5" xfId="0" applyNumberFormat="1" applyFont="1" applyFill="1" applyBorder="1" applyProtection="1">
      <protection locked="0"/>
    </xf>
    <xf numFmtId="204" fontId="69" fillId="32" borderId="25" xfId="0" applyNumberFormat="1" applyFont="1" applyFill="1" applyBorder="1" applyProtection="1">
      <protection locked="0"/>
    </xf>
    <xf numFmtId="204" fontId="110" fillId="32" borderId="6" xfId="187" applyNumberFormat="1" applyFont="1" applyFill="1" applyBorder="1" applyAlignment="1" applyProtection="1">
      <alignment horizontal="right"/>
      <protection locked="0"/>
    </xf>
    <xf numFmtId="204" fontId="69" fillId="32" borderId="6" xfId="187" applyNumberFormat="1" applyFont="1" applyFill="1" applyBorder="1" applyAlignment="1" applyProtection="1">
      <alignment horizontal="right"/>
      <protection locked="0"/>
    </xf>
    <xf numFmtId="0" fontId="83" fillId="32" borderId="5" xfId="0" applyFont="1" applyFill="1" applyBorder="1" applyProtection="1">
      <protection locked="0"/>
    </xf>
    <xf numFmtId="0" fontId="140" fillId="32" borderId="23" xfId="0" applyFont="1" applyFill="1" applyBorder="1" applyAlignment="1" applyProtection="1">
      <alignment horizontal="right"/>
      <protection locked="0"/>
    </xf>
    <xf numFmtId="0" fontId="124" fillId="32" borderId="0" xfId="0" applyFont="1" applyFill="1" applyAlignment="1" applyProtection="1">
      <alignment horizontal="right"/>
      <protection locked="0"/>
    </xf>
    <xf numFmtId="0" fontId="107" fillId="32" borderId="5" xfId="0" applyFont="1" applyFill="1" applyBorder="1" applyProtection="1">
      <protection locked="0"/>
    </xf>
    <xf numFmtId="204" fontId="125" fillId="32" borderId="5" xfId="193" applyNumberFormat="1" applyFont="1" applyFill="1" applyBorder="1" applyProtection="1">
      <protection locked="0"/>
    </xf>
    <xf numFmtId="204" fontId="110" fillId="32" borderId="25" xfId="193" applyNumberFormat="1" applyFont="1" applyFill="1" applyBorder="1" applyProtection="1">
      <protection locked="0"/>
    </xf>
    <xf numFmtId="0" fontId="83" fillId="32" borderId="24" xfId="0" applyFont="1" applyFill="1" applyBorder="1" applyAlignment="1" applyProtection="1">
      <alignment horizontal="right"/>
      <protection locked="0"/>
    </xf>
    <xf numFmtId="0" fontId="83" fillId="32" borderId="25" xfId="0" applyFont="1" applyFill="1" applyBorder="1" applyProtection="1">
      <protection locked="0"/>
    </xf>
    <xf numFmtId="0" fontId="34" fillId="32" borderId="0" xfId="0" applyFont="1" applyFill="1" applyAlignment="1" applyProtection="1">
      <alignment horizontal="center" vertical="center"/>
      <protection locked="0"/>
    </xf>
    <xf numFmtId="0" fontId="112" fillId="32" borderId="0" xfId="0" applyFont="1" applyFill="1" applyAlignment="1" applyProtection="1">
      <alignment horizontal="center" vertical="center"/>
      <protection locked="0"/>
    </xf>
    <xf numFmtId="0" fontId="112" fillId="32" borderId="0" xfId="0" applyFont="1" applyFill="1" applyAlignment="1" applyProtection="1">
      <alignment horizontal="centerContinuous"/>
      <protection locked="0"/>
    </xf>
    <xf numFmtId="0" fontId="34" fillId="32" borderId="0" xfId="0" applyFont="1" applyFill="1" applyAlignment="1" applyProtection="1">
      <alignment horizontal="centerContinuous"/>
      <protection locked="0"/>
    </xf>
    <xf numFmtId="0" fontId="112" fillId="32" borderId="0" xfId="0" applyFont="1" applyFill="1" applyAlignment="1" applyProtection="1">
      <alignment horizontal="centerContinuous" vertical="center"/>
      <protection locked="0"/>
    </xf>
    <xf numFmtId="0" fontId="34" fillId="32" borderId="0" xfId="0" applyFont="1" applyFill="1" applyAlignment="1" applyProtection="1">
      <alignment horizontal="centerContinuous" vertical="center"/>
      <protection locked="0"/>
    </xf>
    <xf numFmtId="0" fontId="112" fillId="32" borderId="0" xfId="0" applyFont="1" applyFill="1" applyAlignment="1" applyProtection="1">
      <alignment horizontal="left"/>
      <protection locked="0"/>
    </xf>
    <xf numFmtId="0" fontId="34" fillId="32" borderId="0" xfId="0" applyFont="1" applyFill="1" applyAlignment="1" applyProtection="1">
      <alignment horizontal="left"/>
      <protection locked="0"/>
    </xf>
    <xf numFmtId="0" fontId="110" fillId="32" borderId="0" xfId="0" applyFont="1" applyFill="1" applyProtection="1">
      <protection locked="0"/>
    </xf>
    <xf numFmtId="245" fontId="110" fillId="32" borderId="0" xfId="0" applyNumberFormat="1" applyFont="1" applyFill="1" applyAlignment="1" applyProtection="1">
      <alignment horizontal="right" indent="2"/>
      <protection locked="0"/>
    </xf>
    <xf numFmtId="245" fontId="83" fillId="32" borderId="0" xfId="0" applyNumberFormat="1" applyFont="1" applyFill="1" applyAlignment="1" applyProtection="1">
      <alignment horizontal="right" indent="2"/>
      <protection locked="0"/>
    </xf>
    <xf numFmtId="245" fontId="6" fillId="32" borderId="0" xfId="0" applyNumberFormat="1" applyFont="1" applyFill="1" applyAlignment="1" applyProtection="1">
      <alignment horizontal="right" indent="2"/>
      <protection locked="0"/>
    </xf>
    <xf numFmtId="0" fontId="83" fillId="32" borderId="0" xfId="0" applyFont="1" applyFill="1" applyAlignment="1" applyProtection="1">
      <alignment horizontal="right" indent="2"/>
      <protection locked="0"/>
    </xf>
    <xf numFmtId="0" fontId="110" fillId="32" borderId="0" xfId="0" applyFont="1" applyFill="1" applyAlignment="1" applyProtection="1">
      <alignment horizontal="right"/>
      <protection locked="0"/>
    </xf>
    <xf numFmtId="245" fontId="110" fillId="32" borderId="65" xfId="0" applyNumberFormat="1" applyFont="1" applyFill="1" applyBorder="1" applyAlignment="1" applyProtection="1">
      <alignment horizontal="center"/>
      <protection locked="0"/>
    </xf>
    <xf numFmtId="0" fontId="81" fillId="32" borderId="0" xfId="0" applyFont="1" applyFill="1" applyProtection="1">
      <protection locked="0"/>
    </xf>
    <xf numFmtId="0" fontId="81" fillId="32" borderId="0" xfId="0" applyFont="1" applyFill="1" applyAlignment="1" applyProtection="1">
      <alignment horizontal="right"/>
      <protection locked="0"/>
    </xf>
    <xf numFmtId="204" fontId="81" fillId="32" borderId="0" xfId="0" applyNumberFormat="1" applyFont="1" applyFill="1" applyAlignment="1" applyProtection="1">
      <alignment horizontal="right"/>
      <protection locked="0"/>
    </xf>
    <xf numFmtId="204" fontId="81" fillId="32" borderId="0" xfId="0" applyNumberFormat="1" applyFont="1" applyFill="1" applyAlignment="1" applyProtection="1">
      <alignment horizontal="centerContinuous"/>
      <protection locked="0"/>
    </xf>
    <xf numFmtId="0" fontId="34" fillId="32" borderId="0" xfId="0" applyFont="1" applyFill="1" applyProtection="1">
      <protection locked="0"/>
    </xf>
    <xf numFmtId="0" fontId="34" fillId="32" borderId="0" xfId="0" applyFont="1" applyFill="1" applyAlignment="1" applyProtection="1">
      <alignment horizontal="right"/>
      <protection locked="0"/>
    </xf>
    <xf numFmtId="204" fontId="34" fillId="32" borderId="0" xfId="0" applyNumberFormat="1" applyFont="1" applyFill="1" applyAlignment="1" applyProtection="1">
      <alignment horizontal="right"/>
      <protection locked="0"/>
    </xf>
    <xf numFmtId="0" fontId="6" fillId="32" borderId="0" xfId="0" applyFont="1" applyFill="1" applyProtection="1">
      <protection locked="0"/>
    </xf>
    <xf numFmtId="0" fontId="85" fillId="32" borderId="0" xfId="192" applyFont="1" applyFill="1" applyAlignment="1">
      <alignment vertical="center"/>
    </xf>
    <xf numFmtId="0" fontId="6" fillId="32" borderId="0" xfId="192" applyFill="1" applyAlignment="1">
      <alignment vertical="center"/>
    </xf>
    <xf numFmtId="0" fontId="105" fillId="32" borderId="0" xfId="0" applyFont="1" applyFill="1" applyAlignment="1">
      <alignment horizontal="center"/>
    </xf>
    <xf numFmtId="0" fontId="114" fillId="32" borderId="0" xfId="0" applyFont="1" applyFill="1" applyAlignment="1">
      <alignment horizontal="center"/>
    </xf>
    <xf numFmtId="167" fontId="69" fillId="32" borderId="0" xfId="0" applyNumberFormat="1" applyFont="1" applyFill="1" applyAlignment="1">
      <alignment horizontal="right"/>
    </xf>
    <xf numFmtId="204" fontId="69" fillId="32" borderId="0" xfId="0" applyNumberFormat="1" applyFont="1" applyFill="1" applyAlignment="1">
      <alignment horizontal="center"/>
    </xf>
    <xf numFmtId="204" fontId="6" fillId="32" borderId="0" xfId="0" applyNumberFormat="1" applyFont="1" applyFill="1" applyAlignment="1">
      <alignment horizontal="center"/>
    </xf>
    <xf numFmtId="0" fontId="119" fillId="32" borderId="0" xfId="0" applyFont="1" applyFill="1"/>
    <xf numFmtId="7" fontId="107" fillId="32" borderId="0" xfId="0" applyNumberFormat="1" applyFont="1" applyFill="1" applyAlignment="1">
      <alignment horizontal="right"/>
    </xf>
    <xf numFmtId="7" fontId="107" fillId="32" borderId="0" xfId="189" applyNumberFormat="1" applyFont="1" applyFill="1" applyBorder="1"/>
    <xf numFmtId="0" fontId="6" fillId="0" borderId="0" xfId="0" applyFont="1"/>
    <xf numFmtId="0" fontId="110" fillId="32" borderId="0" xfId="0" applyFont="1" applyFill="1" applyAlignment="1">
      <alignment wrapText="1"/>
    </xf>
    <xf numFmtId="0" fontId="129" fillId="32" borderId="0" xfId="0" quotePrefix="1" applyFont="1" applyFill="1"/>
    <xf numFmtId="249" fontId="70" fillId="32" borderId="0" xfId="0" applyNumberFormat="1" applyFont="1" applyFill="1" applyAlignment="1">
      <alignment horizontal="right"/>
    </xf>
    <xf numFmtId="0" fontId="110" fillId="32" borderId="0" xfId="0" applyFont="1" applyFill="1" applyAlignment="1">
      <alignment horizontal="right"/>
    </xf>
    <xf numFmtId="0" fontId="108" fillId="32" borderId="0" xfId="0" applyFont="1" applyFill="1" applyAlignment="1">
      <alignment horizontal="left"/>
    </xf>
    <xf numFmtId="7" fontId="70" fillId="32" borderId="0" xfId="0" applyNumberFormat="1" applyFont="1" applyFill="1" applyAlignment="1">
      <alignment horizontal="right"/>
    </xf>
    <xf numFmtId="0" fontId="65" fillId="32" borderId="0" xfId="0" applyFont="1" applyFill="1"/>
    <xf numFmtId="0" fontId="6" fillId="32" borderId="0" xfId="0" applyFont="1" applyFill="1" applyAlignment="1">
      <alignment horizontal="right"/>
    </xf>
    <xf numFmtId="0" fontId="6" fillId="32" borderId="0" xfId="0" applyFont="1" applyFill="1" applyAlignment="1">
      <alignment horizontal="left"/>
    </xf>
    <xf numFmtId="0" fontId="110" fillId="32" borderId="0" xfId="0" applyFont="1" applyFill="1" applyAlignment="1">
      <alignment vertical="top"/>
    </xf>
    <xf numFmtId="0" fontId="6" fillId="32" borderId="0" xfId="0" applyFont="1" applyFill="1" applyAlignment="1">
      <alignment vertical="top"/>
    </xf>
    <xf numFmtId="0" fontId="131" fillId="32" borderId="0" xfId="0" applyFont="1" applyFill="1"/>
    <xf numFmtId="249" fontId="132" fillId="32" borderId="0" xfId="0" applyNumberFormat="1" applyFont="1" applyFill="1"/>
    <xf numFmtId="249" fontId="6" fillId="32" borderId="0" xfId="0" applyNumberFormat="1" applyFont="1" applyFill="1"/>
    <xf numFmtId="0" fontId="6" fillId="32" borderId="0" xfId="0" applyFont="1" applyFill="1" applyAlignment="1">
      <alignment horizontal="left" indent="1"/>
    </xf>
    <xf numFmtId="204" fontId="112" fillId="32" borderId="0" xfId="0" applyNumberFormat="1" applyFont="1" applyFill="1" applyAlignment="1">
      <alignment horizontal="right"/>
    </xf>
    <xf numFmtId="204" fontId="34" fillId="32" borderId="0" xfId="0" applyNumberFormat="1" applyFont="1" applyFill="1" applyAlignment="1">
      <alignment horizontal="right"/>
    </xf>
    <xf numFmtId="0" fontId="70" fillId="32" borderId="0" xfId="0" applyFont="1" applyFill="1" applyAlignment="1">
      <alignment horizontal="right"/>
    </xf>
    <xf numFmtId="0" fontId="112" fillId="32" borderId="32" xfId="0" applyFont="1" applyFill="1" applyBorder="1"/>
    <xf numFmtId="0" fontId="83" fillId="32" borderId="32" xfId="0" applyFont="1" applyFill="1" applyBorder="1"/>
    <xf numFmtId="0" fontId="107" fillId="32" borderId="32" xfId="0" applyFont="1" applyFill="1" applyBorder="1"/>
    <xf numFmtId="0" fontId="113" fillId="32" borderId="0" xfId="0" applyFont="1" applyFill="1" applyAlignment="1">
      <alignment horizontal="center"/>
    </xf>
    <xf numFmtId="204" fontId="119" fillId="32" borderId="32" xfId="0" applyNumberFormat="1" applyFont="1" applyFill="1" applyBorder="1" applyAlignment="1">
      <alignment horizontal="center"/>
    </xf>
    <xf numFmtId="7" fontId="112" fillId="32" borderId="0" xfId="189" applyNumberFormat="1" applyFont="1" applyFill="1" applyBorder="1" applyAlignment="1">
      <alignment horizontal="center"/>
    </xf>
    <xf numFmtId="0" fontId="65" fillId="32" borderId="0" xfId="0" quotePrefix="1" applyFont="1" applyFill="1"/>
    <xf numFmtId="0" fontId="81" fillId="33" borderId="21" xfId="0" applyFont="1" applyFill="1" applyBorder="1"/>
    <xf numFmtId="0" fontId="85" fillId="33" borderId="22" xfId="0" applyFont="1" applyFill="1" applyBorder="1"/>
    <xf numFmtId="0" fontId="85" fillId="33" borderId="16" xfId="0" applyFont="1" applyFill="1" applyBorder="1"/>
    <xf numFmtId="0" fontId="83" fillId="34" borderId="23" xfId="0" applyFont="1" applyFill="1" applyBorder="1"/>
    <xf numFmtId="0" fontId="83" fillId="34" borderId="6" xfId="0" applyFont="1" applyFill="1" applyBorder="1"/>
    <xf numFmtId="0" fontId="110" fillId="32" borderId="24" xfId="0" applyFont="1" applyFill="1" applyBorder="1"/>
    <xf numFmtId="245" fontId="69" fillId="32" borderId="25" xfId="0" applyNumberFormat="1" applyFont="1" applyFill="1" applyBorder="1"/>
    <xf numFmtId="245" fontId="108" fillId="32" borderId="0" xfId="0" applyNumberFormat="1" applyFont="1" applyFill="1" applyAlignment="1">
      <alignment horizontal="center"/>
    </xf>
    <xf numFmtId="7" fontId="112" fillId="32" borderId="0" xfId="0" applyNumberFormat="1" applyFont="1" applyFill="1"/>
    <xf numFmtId="167" fontId="108" fillId="32" borderId="0" xfId="0" applyNumberFormat="1" applyFont="1" applyFill="1"/>
    <xf numFmtId="167" fontId="104" fillId="32" borderId="0" xfId="0" applyNumberFormat="1" applyFont="1" applyFill="1"/>
    <xf numFmtId="0" fontId="113" fillId="32" borderId="0" xfId="0" applyFont="1" applyFill="1"/>
    <xf numFmtId="0" fontId="113" fillId="32" borderId="0" xfId="0" applyFont="1" applyFill="1" applyAlignment="1">
      <alignment horizontal="right"/>
    </xf>
    <xf numFmtId="245" fontId="108" fillId="32" borderId="0" xfId="186" applyNumberFormat="1" applyFont="1" applyFill="1" applyBorder="1" applyAlignment="1" applyProtection="1">
      <alignment horizontal="center"/>
    </xf>
    <xf numFmtId="245" fontId="111" fillId="32" borderId="0" xfId="186" applyNumberFormat="1" applyFont="1" applyFill="1" applyBorder="1" applyAlignment="1" applyProtection="1">
      <alignment horizontal="center"/>
    </xf>
    <xf numFmtId="245" fontId="111" fillId="32" borderId="0" xfId="186" applyNumberFormat="1" applyFont="1" applyFill="1" applyBorder="1" applyAlignment="1" applyProtection="1">
      <alignment horizontal="center"/>
      <protection locked="0"/>
    </xf>
    <xf numFmtId="245" fontId="108" fillId="32" borderId="0" xfId="186" applyNumberFormat="1" applyFont="1" applyFill="1" applyBorder="1" applyAlignment="1" applyProtection="1">
      <alignment horizontal="center"/>
      <protection locked="0"/>
    </xf>
    <xf numFmtId="0" fontId="112" fillId="32" borderId="0" xfId="0" applyFont="1" applyFill="1" applyAlignment="1">
      <alignment horizontal="left" indent="2"/>
    </xf>
    <xf numFmtId="245" fontId="138" fillId="32" borderId="0" xfId="186" applyNumberFormat="1" applyFont="1" applyFill="1" applyBorder="1" applyAlignment="1" applyProtection="1">
      <alignment horizontal="center"/>
    </xf>
    <xf numFmtId="245" fontId="116" fillId="32" borderId="0" xfId="186" applyNumberFormat="1" applyFont="1" applyFill="1" applyBorder="1" applyAlignment="1" applyProtection="1">
      <alignment horizontal="center"/>
      <protection locked="0"/>
    </xf>
    <xf numFmtId="0" fontId="107" fillId="32" borderId="5" xfId="0" applyFont="1" applyFill="1" applyBorder="1" applyAlignment="1">
      <alignment horizontal="left" indent="2"/>
    </xf>
    <xf numFmtId="0" fontId="98" fillId="32" borderId="0" xfId="0" applyFont="1" applyFill="1"/>
    <xf numFmtId="0" fontId="92" fillId="32" borderId="0" xfId="0" applyFont="1" applyFill="1" applyAlignment="1">
      <alignment horizontal="left" indent="1"/>
    </xf>
    <xf numFmtId="0" fontId="93" fillId="32" borderId="0" xfId="0" applyFont="1" applyFill="1"/>
    <xf numFmtId="0" fontId="93" fillId="32" borderId="0" xfId="0" applyFont="1" applyFill="1" applyAlignment="1">
      <alignment horizontal="left" indent="1"/>
    </xf>
    <xf numFmtId="0" fontId="98" fillId="32" borderId="0" xfId="0" applyFont="1" applyFill="1" applyAlignment="1">
      <alignment horizontal="right"/>
    </xf>
    <xf numFmtId="0" fontId="97" fillId="32" borderId="0" xfId="0" applyFont="1" applyFill="1" applyAlignment="1">
      <alignment horizontal="left" indent="2"/>
    </xf>
    <xf numFmtId="0" fontId="97" fillId="32" borderId="0" xfId="0" applyFont="1" applyFill="1"/>
    <xf numFmtId="167" fontId="101" fillId="32" borderId="0" xfId="0" applyNumberFormat="1" applyFont="1" applyFill="1"/>
    <xf numFmtId="0" fontId="97" fillId="32" borderId="0" xfId="0" applyFont="1" applyFill="1" applyAlignment="1">
      <alignment horizontal="left" indent="1"/>
    </xf>
    <xf numFmtId="167" fontId="94" fillId="32" borderId="0" xfId="0" applyNumberFormat="1" applyFont="1" applyFill="1"/>
    <xf numFmtId="0" fontId="100" fillId="32" borderId="0" xfId="0" applyFont="1" applyFill="1" applyAlignment="1">
      <alignment horizontal="center"/>
    </xf>
    <xf numFmtId="0" fontId="98" fillId="32" borderId="0" xfId="0" applyFont="1" applyFill="1" applyAlignment="1">
      <alignment horizontal="left"/>
    </xf>
    <xf numFmtId="167" fontId="110" fillId="32" borderId="0" xfId="0" applyNumberFormat="1" applyFont="1" applyFill="1"/>
    <xf numFmtId="0" fontId="115" fillId="32" borderId="0" xfId="0" applyFont="1" applyFill="1" applyAlignment="1">
      <alignment horizontal="center"/>
    </xf>
    <xf numFmtId="167" fontId="69" fillId="32" borderId="0" xfId="188" applyNumberFormat="1" applyFont="1" applyFill="1" applyBorder="1"/>
    <xf numFmtId="0" fontId="112" fillId="32" borderId="0" xfId="0" applyFont="1" applyFill="1" applyAlignment="1" applyProtection="1">
      <alignment vertical="center"/>
      <protection locked="0"/>
    </xf>
    <xf numFmtId="0" fontId="34" fillId="32" borderId="0" xfId="0" applyFont="1" applyFill="1" applyAlignment="1" applyProtection="1">
      <alignment vertical="center"/>
      <protection locked="0"/>
    </xf>
    <xf numFmtId="167" fontId="70" fillId="32" borderId="0" xfId="0" applyNumberFormat="1" applyFont="1" applyFill="1" applyProtection="1">
      <protection locked="0"/>
    </xf>
    <xf numFmtId="0" fontId="112" fillId="32" borderId="22" xfId="0" applyFont="1" applyFill="1" applyBorder="1" applyAlignment="1" applyProtection="1">
      <alignment horizontal="left" indent="1"/>
      <protection locked="0"/>
    </xf>
    <xf numFmtId="0" fontId="83" fillId="32" borderId="22" xfId="0" applyFont="1" applyFill="1" applyBorder="1" applyProtection="1">
      <protection locked="0"/>
    </xf>
    <xf numFmtId="0" fontId="34" fillId="32" borderId="22" xfId="0" applyFont="1" applyFill="1" applyBorder="1" applyProtection="1">
      <protection locked="0"/>
    </xf>
    <xf numFmtId="167" fontId="69" fillId="32" borderId="0" xfId="0" applyNumberFormat="1" applyFont="1" applyFill="1" applyProtection="1">
      <protection locked="0"/>
    </xf>
    <xf numFmtId="0" fontId="112" fillId="32" borderId="0" xfId="0" applyFont="1" applyFill="1" applyProtection="1">
      <protection locked="0"/>
    </xf>
    <xf numFmtId="0" fontId="110" fillId="32" borderId="0" xfId="0" applyFont="1" applyFill="1" applyAlignment="1" applyProtection="1">
      <alignment horizontal="left" indent="1"/>
      <protection locked="0"/>
    </xf>
    <xf numFmtId="0" fontId="110" fillId="32" borderId="22" xfId="0" applyFont="1" applyFill="1" applyBorder="1" applyAlignment="1" applyProtection="1">
      <alignment horizontal="left" indent="2"/>
      <protection locked="0"/>
    </xf>
    <xf numFmtId="204" fontId="112" fillId="32" borderId="35" xfId="188" applyNumberFormat="1" applyFont="1" applyFill="1" applyBorder="1" applyProtection="1">
      <protection locked="0"/>
    </xf>
    <xf numFmtId="167" fontId="83" fillId="32" borderId="0" xfId="188" applyNumberFormat="1" applyFont="1" applyFill="1" applyProtection="1">
      <protection locked="0"/>
    </xf>
    <xf numFmtId="0" fontId="112" fillId="32" borderId="20" xfId="0" applyFont="1" applyFill="1" applyBorder="1" applyAlignment="1" applyProtection="1">
      <alignment vertical="center"/>
      <protection locked="0"/>
    </xf>
    <xf numFmtId="0" fontId="34" fillId="32" borderId="20" xfId="0" applyFont="1" applyFill="1" applyBorder="1" applyAlignment="1" applyProtection="1">
      <alignment vertical="center"/>
      <protection locked="0"/>
    </xf>
    <xf numFmtId="167" fontId="112" fillId="32" borderId="20" xfId="188" applyNumberFormat="1" applyFont="1" applyFill="1" applyBorder="1" applyAlignment="1" applyProtection="1">
      <alignment vertical="center"/>
      <protection locked="0"/>
    </xf>
    <xf numFmtId="204" fontId="109" fillId="32" borderId="32" xfId="0" applyNumberFormat="1" applyFont="1" applyFill="1" applyBorder="1"/>
    <xf numFmtId="204" fontId="113" fillId="32" borderId="32" xfId="0" applyNumberFormat="1" applyFont="1" applyFill="1" applyBorder="1" applyAlignment="1">
      <alignment horizontal="center"/>
    </xf>
    <xf numFmtId="204" fontId="113" fillId="32" borderId="0" xfId="0" applyNumberFormat="1" applyFont="1" applyFill="1" applyAlignment="1">
      <alignment horizontal="center"/>
    </xf>
    <xf numFmtId="204" fontId="110" fillId="32" borderId="32" xfId="0" applyNumberFormat="1" applyFont="1" applyFill="1" applyBorder="1"/>
    <xf numFmtId="10" fontId="108" fillId="32" borderId="0" xfId="0" applyNumberFormat="1" applyFont="1" applyFill="1"/>
    <xf numFmtId="245" fontId="108" fillId="32" borderId="0" xfId="0" applyNumberFormat="1" applyFont="1" applyFill="1"/>
    <xf numFmtId="0" fontId="104" fillId="32" borderId="0" xfId="0" applyFont="1" applyFill="1" applyAlignment="1">
      <alignment horizontal="left"/>
    </xf>
    <xf numFmtId="245" fontId="104" fillId="32" borderId="0" xfId="0" applyNumberFormat="1" applyFont="1" applyFill="1"/>
    <xf numFmtId="10" fontId="83" fillId="32" borderId="0" xfId="0" quotePrefix="1" applyNumberFormat="1" applyFont="1" applyFill="1"/>
    <xf numFmtId="0" fontId="114" fillId="32" borderId="0" xfId="0" applyFont="1" applyFill="1"/>
    <xf numFmtId="0" fontId="135" fillId="32" borderId="0" xfId="0" applyFont="1" applyFill="1" applyAlignment="1">
      <alignment horizontal="left" vertical="center"/>
    </xf>
    <xf numFmtId="169" fontId="70" fillId="32" borderId="0" xfId="0" applyNumberFormat="1" applyFont="1" applyFill="1"/>
    <xf numFmtId="0" fontId="110" fillId="32" borderId="0" xfId="0" applyFont="1" applyFill="1" applyAlignment="1">
      <alignment horizontal="left" vertical="center" indent="1"/>
    </xf>
    <xf numFmtId="0" fontId="112" fillId="32" borderId="5" xfId="0" applyFont="1" applyFill="1" applyBorder="1" applyAlignment="1">
      <alignment vertical="center"/>
    </xf>
    <xf numFmtId="0" fontId="107" fillId="32" borderId="0" xfId="0" applyFont="1" applyFill="1" applyAlignment="1">
      <alignment vertical="center"/>
    </xf>
    <xf numFmtId="0" fontId="112" fillId="32" borderId="5" xfId="0" applyFont="1" applyFill="1" applyBorder="1" applyAlignment="1">
      <alignment horizontal="left"/>
    </xf>
    <xf numFmtId="169" fontId="69" fillId="32" borderId="5" xfId="0" applyNumberFormat="1" applyFont="1" applyFill="1" applyBorder="1"/>
    <xf numFmtId="0" fontId="112" fillId="32" borderId="1" xfId="0" applyFont="1" applyFill="1" applyBorder="1"/>
    <xf numFmtId="0" fontId="113" fillId="32" borderId="0" xfId="0" applyFont="1" applyFill="1" applyAlignment="1">
      <alignment horizontal="centerContinuous"/>
    </xf>
    <xf numFmtId="0" fontId="135" fillId="32" borderId="0" xfId="0" applyFont="1" applyFill="1" applyAlignment="1">
      <alignment horizontal="center"/>
    </xf>
    <xf numFmtId="0" fontId="105" fillId="32" borderId="0" xfId="0" applyFont="1" applyFill="1" applyAlignment="1">
      <alignment horizontal="centerContinuous"/>
    </xf>
    <xf numFmtId="0" fontId="110" fillId="32" borderId="44" xfId="0" applyFont="1" applyFill="1" applyBorder="1"/>
    <xf numFmtId="204" fontId="115" fillId="32" borderId="45" xfId="0" applyNumberFormat="1" applyFont="1" applyFill="1" applyBorder="1"/>
    <xf numFmtId="0" fontId="112" fillId="32" borderId="0" xfId="191" applyFont="1" applyFill="1" applyAlignment="1">
      <alignment horizontal="left" vertical="center"/>
    </xf>
    <xf numFmtId="0" fontId="6" fillId="32" borderId="0" xfId="191" applyFont="1" applyFill="1" applyAlignment="1">
      <alignment vertical="center"/>
    </xf>
    <xf numFmtId="0" fontId="80" fillId="32" borderId="0" xfId="191" applyFont="1" applyFill="1" applyAlignment="1">
      <alignment horizontal="center" vertical="center"/>
    </xf>
    <xf numFmtId="0" fontId="34" fillId="32" borderId="0" xfId="191" applyFont="1" applyFill="1" applyAlignment="1">
      <alignment horizontal="left"/>
    </xf>
    <xf numFmtId="0" fontId="6" fillId="32" borderId="0" xfId="191" applyFont="1" applyFill="1"/>
    <xf numFmtId="0" fontId="80" fillId="32" borderId="0" xfId="191" applyFont="1" applyFill="1" applyAlignment="1">
      <alignment horizontal="center"/>
    </xf>
    <xf numFmtId="0" fontId="110" fillId="32" borderId="0" xfId="191" applyFont="1" applyFill="1"/>
    <xf numFmtId="0" fontId="6" fillId="32" borderId="0" xfId="191" applyFont="1" applyFill="1" applyAlignment="1">
      <alignment horizontal="center"/>
    </xf>
    <xf numFmtId="0" fontId="6" fillId="32" borderId="0" xfId="191" applyFont="1" applyFill="1" applyAlignment="1">
      <alignment horizontal="left"/>
    </xf>
    <xf numFmtId="0" fontId="92" fillId="31" borderId="67" xfId="0" applyFont="1" applyFill="1" applyBorder="1"/>
    <xf numFmtId="167" fontId="92" fillId="31" borderId="0" xfId="0" applyNumberFormat="1" applyFont="1" applyFill="1"/>
    <xf numFmtId="248" fontId="92" fillId="32" borderId="0" xfId="0" applyNumberFormat="1" applyFont="1" applyFill="1" applyAlignment="1">
      <alignment horizontal="right"/>
    </xf>
    <xf numFmtId="0" fontId="100" fillId="31" borderId="0" xfId="0" applyFont="1" applyFill="1"/>
    <xf numFmtId="0" fontId="100" fillId="31" borderId="0" xfId="0" applyFont="1" applyFill="1" applyAlignment="1">
      <alignment vertical="top" wrapText="1"/>
    </xf>
    <xf numFmtId="0" fontId="96" fillId="32" borderId="0" xfId="0" applyFont="1" applyFill="1"/>
    <xf numFmtId="0" fontId="130" fillId="32" borderId="0" xfId="0" applyFont="1" applyFill="1"/>
    <xf numFmtId="0" fontId="128" fillId="32" borderId="0" xfId="0" applyFont="1" applyFill="1"/>
    <xf numFmtId="0" fontId="6" fillId="32" borderId="0" xfId="192" applyFill="1"/>
    <xf numFmtId="0" fontId="112" fillId="32" borderId="0" xfId="192" applyFont="1" applyFill="1" applyAlignment="1">
      <alignment horizontal="centerContinuous"/>
    </xf>
    <xf numFmtId="0" fontId="43" fillId="32" borderId="0" xfId="192" applyFont="1" applyFill="1" applyAlignment="1">
      <alignment horizontal="centerContinuous"/>
    </xf>
    <xf numFmtId="0" fontId="84" fillId="32" borderId="0" xfId="192" applyFont="1" applyFill="1" applyAlignment="1">
      <alignment horizontal="centerContinuous"/>
    </xf>
    <xf numFmtId="0" fontId="34" fillId="32" borderId="0" xfId="192" applyFont="1" applyFill="1" applyAlignment="1">
      <alignment horizontal="centerContinuous"/>
    </xf>
    <xf numFmtId="0" fontId="6" fillId="32" borderId="48" xfId="192" applyFill="1" applyBorder="1"/>
    <xf numFmtId="0" fontId="112" fillId="32" borderId="0" xfId="192" applyFont="1" applyFill="1"/>
    <xf numFmtId="0" fontId="6" fillId="32" borderId="6" xfId="192" applyFill="1" applyBorder="1"/>
    <xf numFmtId="0" fontId="34" fillId="32" borderId="0" xfId="192" applyFont="1" applyFill="1"/>
    <xf numFmtId="0" fontId="110" fillId="32" borderId="0" xfId="192" applyFont="1" applyFill="1"/>
    <xf numFmtId="0" fontId="88" fillId="32" borderId="43" xfId="192" applyFont="1" applyFill="1" applyBorder="1"/>
    <xf numFmtId="204" fontId="69" fillId="32" borderId="0" xfId="187" applyNumberFormat="1" applyFont="1" applyFill="1" applyBorder="1"/>
    <xf numFmtId="204" fontId="69" fillId="32" borderId="6" xfId="187" applyNumberFormat="1" applyFont="1" applyFill="1" applyBorder="1"/>
    <xf numFmtId="0" fontId="89" fillId="32" borderId="0" xfId="192" applyFont="1" applyFill="1"/>
    <xf numFmtId="0" fontId="91" fillId="32" borderId="0" xfId="192" applyFont="1" applyFill="1"/>
    <xf numFmtId="0" fontId="89" fillId="32" borderId="49" xfId="192" applyFont="1" applyFill="1" applyBorder="1"/>
    <xf numFmtId="0" fontId="89" fillId="32" borderId="53" xfId="192" applyFont="1" applyFill="1" applyBorder="1"/>
    <xf numFmtId="0" fontId="89" fillId="32" borderId="6" xfId="192" applyFont="1" applyFill="1" applyBorder="1"/>
    <xf numFmtId="0" fontId="21" fillId="32" borderId="0" xfId="192" applyFont="1" applyFill="1"/>
    <xf numFmtId="0" fontId="6" fillId="32" borderId="50" xfId="192" applyFill="1" applyBorder="1"/>
    <xf numFmtId="0" fontId="6" fillId="32" borderId="51" xfId="192" applyFill="1" applyBorder="1"/>
    <xf numFmtId="0" fontId="6" fillId="32" borderId="51" xfId="192" applyFill="1" applyBorder="1" applyAlignment="1">
      <alignment horizontal="left"/>
    </xf>
    <xf numFmtId="0" fontId="6" fillId="32" borderId="52" xfId="192" applyFill="1" applyBorder="1"/>
    <xf numFmtId="0" fontId="96" fillId="32" borderId="0" xfId="0" applyFont="1" applyFill="1" applyAlignment="1">
      <alignment horizontal="centerContinuous"/>
    </xf>
    <xf numFmtId="0" fontId="110" fillId="32" borderId="48" xfId="0" applyFont="1" applyFill="1" applyBorder="1"/>
    <xf numFmtId="204" fontId="69" fillId="32" borderId="55" xfId="0" applyNumberFormat="1" applyFont="1" applyFill="1" applyBorder="1" applyAlignment="1">
      <alignment horizontal="right"/>
    </xf>
    <xf numFmtId="0" fontId="92" fillId="32" borderId="6" xfId="0" applyFont="1" applyFill="1" applyBorder="1"/>
    <xf numFmtId="204" fontId="110" fillId="32" borderId="55" xfId="0" applyNumberFormat="1" applyFont="1" applyFill="1" applyBorder="1" applyAlignment="1">
      <alignment horizontal="right"/>
    </xf>
    <xf numFmtId="204" fontId="69" fillId="32" borderId="0" xfId="0" applyNumberFormat="1" applyFont="1" applyFill="1" applyAlignment="1">
      <alignment horizontal="right"/>
    </xf>
    <xf numFmtId="204" fontId="119" fillId="32" borderId="32" xfId="0" applyNumberFormat="1" applyFont="1" applyFill="1" applyBorder="1" applyAlignment="1">
      <alignment horizontal="right"/>
    </xf>
    <xf numFmtId="0" fontId="112" fillId="32" borderId="46" xfId="0" applyFont="1" applyFill="1" applyBorder="1"/>
    <xf numFmtId="0" fontId="0" fillId="32" borderId="47" xfId="0" applyFill="1" applyBorder="1"/>
    <xf numFmtId="204" fontId="78" fillId="32" borderId="54" xfId="0" applyNumberFormat="1" applyFont="1" applyFill="1" applyBorder="1" applyAlignment="1">
      <alignment horizontal="right"/>
    </xf>
    <xf numFmtId="0" fontId="0" fillId="32" borderId="51" xfId="0" applyFill="1" applyBorder="1"/>
    <xf numFmtId="0" fontId="107" fillId="32" borderId="5" xfId="0" applyFont="1" applyFill="1" applyBorder="1"/>
    <xf numFmtId="7" fontId="112" fillId="32" borderId="5" xfId="0" applyNumberFormat="1" applyFont="1" applyFill="1" applyBorder="1" applyAlignment="1">
      <alignment horizontal="right"/>
    </xf>
    <xf numFmtId="0" fontId="92" fillId="32" borderId="25" xfId="0" applyFont="1" applyFill="1" applyBorder="1"/>
    <xf numFmtId="7" fontId="69" fillId="32" borderId="0" xfId="189" applyNumberFormat="1" applyFont="1" applyFill="1" applyBorder="1" applyAlignment="1">
      <alignment horizontal="right"/>
    </xf>
    <xf numFmtId="7" fontId="110" fillId="32" borderId="0" xfId="189" applyNumberFormat="1" applyFont="1" applyFill="1" applyBorder="1" applyAlignment="1">
      <alignment horizontal="right"/>
    </xf>
    <xf numFmtId="0" fontId="110" fillId="32" borderId="62" xfId="0" applyFont="1" applyFill="1" applyBorder="1"/>
    <xf numFmtId="7" fontId="1" fillId="32" borderId="5" xfId="0" applyNumberFormat="1" applyFont="1" applyFill="1" applyBorder="1"/>
    <xf numFmtId="7" fontId="0" fillId="32" borderId="5" xfId="0" applyNumberFormat="1" applyFill="1" applyBorder="1"/>
    <xf numFmtId="7" fontId="1" fillId="32" borderId="25" xfId="0" applyNumberFormat="1" applyFont="1" applyFill="1" applyBorder="1"/>
    <xf numFmtId="0" fontId="108" fillId="32" borderId="0" xfId="192" applyFont="1" applyFill="1"/>
    <xf numFmtId="0" fontId="65" fillId="32" borderId="0" xfId="192" applyFont="1" applyFill="1"/>
    <xf numFmtId="167" fontId="141" fillId="32" borderId="6" xfId="0" applyNumberFormat="1" applyFont="1" applyFill="1" applyBorder="1"/>
    <xf numFmtId="167" fontId="141" fillId="32" borderId="0" xfId="0" applyNumberFormat="1" applyFont="1" applyFill="1"/>
    <xf numFmtId="0" fontId="108" fillId="32" borderId="50" xfId="0" applyFont="1" applyFill="1" applyBorder="1"/>
    <xf numFmtId="204" fontId="108" fillId="32" borderId="56" xfId="0" applyNumberFormat="1" applyFont="1" applyFill="1" applyBorder="1" applyAlignment="1">
      <alignment horizontal="right"/>
    </xf>
    <xf numFmtId="0" fontId="142" fillId="31" borderId="0" xfId="176" applyNumberFormat="1" applyFont="1" applyFill="1" applyBorder="1"/>
    <xf numFmtId="168" fontId="112" fillId="32" borderId="0" xfId="187" applyNumberFormat="1" applyFont="1" applyFill="1" applyBorder="1" applyAlignment="1" applyProtection="1">
      <alignment horizontal="right"/>
      <protection locked="0"/>
    </xf>
    <xf numFmtId="204" fontId="112" fillId="32" borderId="22" xfId="187" applyNumberFormat="1" applyFont="1" applyFill="1" applyBorder="1" applyAlignment="1" applyProtection="1">
      <alignment horizontal="right"/>
      <protection locked="0"/>
    </xf>
    <xf numFmtId="204" fontId="115" fillId="32" borderId="22" xfId="187" applyNumberFormat="1" applyFont="1" applyFill="1" applyBorder="1" applyAlignment="1" applyProtection="1">
      <alignment horizontal="right"/>
      <protection locked="0"/>
    </xf>
    <xf numFmtId="204" fontId="112" fillId="32" borderId="22" xfId="187" applyNumberFormat="1" applyFont="1" applyFill="1" applyBorder="1" applyAlignment="1" applyProtection="1">
      <alignment horizontal="right"/>
    </xf>
    <xf numFmtId="0" fontId="112" fillId="32" borderId="22" xfId="0" quotePrefix="1" applyFont="1" applyFill="1" applyBorder="1" applyAlignment="1">
      <alignment horizontal="right"/>
    </xf>
    <xf numFmtId="0" fontId="112" fillId="32" borderId="6" xfId="0" applyFont="1" applyFill="1" applyBorder="1" applyAlignment="1">
      <alignment horizontal="right"/>
    </xf>
    <xf numFmtId="204" fontId="112" fillId="32" borderId="22" xfId="0" applyNumberFormat="1" applyFont="1" applyFill="1" applyBorder="1" applyAlignment="1">
      <alignment horizontal="right"/>
    </xf>
    <xf numFmtId="248" fontId="69" fillId="32" borderId="0" xfId="0" applyNumberFormat="1" applyFont="1" applyFill="1"/>
    <xf numFmtId="204" fontId="68" fillId="32" borderId="0" xfId="187" applyNumberFormat="1" applyFont="1" applyFill="1" applyBorder="1" applyProtection="1"/>
    <xf numFmtId="245" fontId="70" fillId="32" borderId="5" xfId="0" applyNumberFormat="1" applyFont="1" applyFill="1" applyBorder="1"/>
    <xf numFmtId="245" fontId="6" fillId="32" borderId="5" xfId="0" applyNumberFormat="1" applyFont="1" applyFill="1" applyBorder="1"/>
    <xf numFmtId="245" fontId="110" fillId="32" borderId="5" xfId="0" applyNumberFormat="1" applyFont="1" applyFill="1" applyBorder="1" applyAlignment="1">
      <alignment horizontal="center"/>
    </xf>
    <xf numFmtId="5" fontId="34" fillId="32" borderId="0" xfId="187" applyNumberFormat="1" applyFont="1" applyFill="1" applyBorder="1" applyProtection="1"/>
    <xf numFmtId="251" fontId="70" fillId="32" borderId="8" xfId="0" applyNumberFormat="1" applyFont="1" applyFill="1" applyBorder="1"/>
    <xf numFmtId="250" fontId="70" fillId="32" borderId="8" xfId="0" applyNumberFormat="1" applyFont="1" applyFill="1" applyBorder="1"/>
    <xf numFmtId="0" fontId="85" fillId="32" borderId="0" xfId="0" applyFont="1" applyFill="1"/>
    <xf numFmtId="0" fontId="85" fillId="32" borderId="0" xfId="0" applyFont="1" applyFill="1" applyProtection="1">
      <protection locked="0"/>
    </xf>
    <xf numFmtId="167" fontId="78" fillId="32" borderId="28" xfId="0" applyNumberFormat="1" applyFont="1" applyFill="1" applyBorder="1"/>
    <xf numFmtId="43" fontId="70" fillId="32" borderId="0" xfId="187" applyFont="1" applyFill="1" applyAlignment="1" applyProtection="1">
      <alignment horizontal="right"/>
      <protection locked="0"/>
    </xf>
    <xf numFmtId="10" fontId="108" fillId="32" borderId="0" xfId="0" quotePrefix="1" applyNumberFormat="1" applyFont="1" applyFill="1"/>
    <xf numFmtId="10" fontId="110" fillId="32" borderId="0" xfId="188" applyNumberFormat="1" applyFont="1" applyFill="1" applyAlignment="1">
      <alignment horizontal="right"/>
    </xf>
    <xf numFmtId="0" fontId="92" fillId="32" borderId="0" xfId="0" applyFont="1" applyFill="1" applyAlignment="1">
      <alignment horizontal="center" vertical="center"/>
    </xf>
    <xf numFmtId="0" fontId="92" fillId="32" borderId="0" xfId="0" quotePrefix="1" applyFont="1" applyFill="1"/>
    <xf numFmtId="0" fontId="92" fillId="32" borderId="30" xfId="0" applyFont="1" applyFill="1" applyBorder="1"/>
    <xf numFmtId="0" fontId="112" fillId="32" borderId="5" xfId="0" applyFont="1" applyFill="1" applyBorder="1"/>
    <xf numFmtId="0" fontId="112" fillId="32" borderId="5" xfId="0" applyFont="1" applyFill="1" applyBorder="1" applyAlignment="1">
      <alignment horizontal="centerContinuous"/>
    </xf>
    <xf numFmtId="0" fontId="107" fillId="32" borderId="5" xfId="0" applyFont="1" applyFill="1" applyBorder="1" applyAlignment="1">
      <alignment horizontal="centerContinuous"/>
    </xf>
    <xf numFmtId="0" fontId="114" fillId="32" borderId="0" xfId="0" applyFont="1" applyFill="1" applyAlignment="1">
      <alignment horizontal="centerContinuous"/>
    </xf>
    <xf numFmtId="0" fontId="135" fillId="32" borderId="0" xfId="0" applyFont="1" applyFill="1" applyAlignment="1">
      <alignment horizontal="centerContinuous"/>
    </xf>
    <xf numFmtId="167" fontId="110" fillId="32" borderId="5" xfId="188" applyNumberFormat="1" applyFont="1" applyFill="1" applyBorder="1" applyAlignment="1"/>
    <xf numFmtId="167" fontId="70" fillId="32" borderId="5" xfId="188" applyNumberFormat="1" applyFont="1" applyFill="1" applyBorder="1" applyAlignment="1"/>
    <xf numFmtId="167" fontId="110" fillId="32" borderId="6" xfId="188" applyNumberFormat="1" applyFont="1" applyFill="1" applyBorder="1"/>
    <xf numFmtId="7" fontId="110" fillId="32" borderId="0" xfId="189" applyNumberFormat="1" applyFont="1" applyFill="1"/>
    <xf numFmtId="167" fontId="70" fillId="32" borderId="6" xfId="188" applyNumberFormat="1" applyFont="1" applyFill="1" applyBorder="1"/>
    <xf numFmtId="167" fontId="83" fillId="32" borderId="0" xfId="188" applyNumberFormat="1" applyFont="1" applyFill="1" applyBorder="1"/>
    <xf numFmtId="7" fontId="83" fillId="32" borderId="0" xfId="189" applyNumberFormat="1" applyFont="1" applyFill="1"/>
    <xf numFmtId="167" fontId="110" fillId="32" borderId="5" xfId="188" applyNumberFormat="1" applyFont="1" applyFill="1" applyBorder="1"/>
    <xf numFmtId="167" fontId="70" fillId="32" borderId="5" xfId="188" applyNumberFormat="1" applyFont="1" applyFill="1" applyBorder="1"/>
    <xf numFmtId="0" fontId="110" fillId="32" borderId="60" xfId="0" applyFont="1" applyFill="1" applyBorder="1" applyAlignment="1">
      <alignment horizontal="right"/>
    </xf>
    <xf numFmtId="0" fontId="110" fillId="32" borderId="61" xfId="0" applyFont="1" applyFill="1" applyBorder="1" applyAlignment="1">
      <alignment horizontal="right"/>
    </xf>
    <xf numFmtId="0" fontId="110" fillId="32" borderId="62" xfId="0" quotePrefix="1" applyFont="1" applyFill="1" applyBorder="1"/>
    <xf numFmtId="7" fontId="110" fillId="32" borderId="63" xfId="0" applyNumberFormat="1" applyFont="1" applyFill="1" applyBorder="1"/>
    <xf numFmtId="7" fontId="70" fillId="32" borderId="1" xfId="0" applyNumberFormat="1" applyFont="1" applyFill="1" applyBorder="1"/>
    <xf numFmtId="7" fontId="110" fillId="32" borderId="1" xfId="0" applyNumberFormat="1" applyFont="1" applyFill="1" applyBorder="1"/>
    <xf numFmtId="7" fontId="70" fillId="32" borderId="64" xfId="0" applyNumberFormat="1" applyFont="1" applyFill="1" applyBorder="1"/>
    <xf numFmtId="0" fontId="110" fillId="37" borderId="0" xfId="0" applyFont="1" applyFill="1" applyAlignment="1">
      <alignment horizontal="right"/>
    </xf>
    <xf numFmtId="204" fontId="110" fillId="32" borderId="0" xfId="0" applyNumberFormat="1" applyFont="1" applyFill="1" applyAlignment="1" applyProtection="1">
      <alignment horizontal="right"/>
      <protection locked="0"/>
    </xf>
    <xf numFmtId="204" fontId="6" fillId="32" borderId="0" xfId="0" applyNumberFormat="1" applyFont="1" applyFill="1" applyAlignment="1" applyProtection="1">
      <alignment horizontal="right"/>
      <protection locked="0"/>
    </xf>
    <xf numFmtId="204" fontId="69" fillId="32" borderId="0" xfId="0" applyNumberFormat="1" applyFont="1" applyFill="1" applyAlignment="1" applyProtection="1">
      <alignment horizontal="right"/>
      <protection locked="0"/>
    </xf>
    <xf numFmtId="7" fontId="112" fillId="32" borderId="22" xfId="0" applyNumberFormat="1" applyFont="1" applyFill="1" applyBorder="1"/>
    <xf numFmtId="0" fontId="70" fillId="37" borderId="0" xfId="0" applyFont="1" applyFill="1" applyAlignment="1">
      <alignment horizontal="right"/>
    </xf>
    <xf numFmtId="245" fontId="110" fillId="37" borderId="0" xfId="0" applyNumberFormat="1" applyFont="1" applyFill="1" applyAlignment="1">
      <alignment horizontal="right"/>
    </xf>
    <xf numFmtId="167" fontId="110" fillId="37" borderId="0" xfId="0" applyNumberFormat="1" applyFont="1" applyFill="1" applyAlignment="1">
      <alignment horizontal="right"/>
    </xf>
    <xf numFmtId="204" fontId="70" fillId="37" borderId="0" xfId="0" applyNumberFormat="1" applyFont="1" applyFill="1"/>
    <xf numFmtId="7" fontId="70" fillId="37" borderId="0" xfId="0" applyNumberFormat="1" applyFont="1" applyFill="1"/>
    <xf numFmtId="7" fontId="69" fillId="32" borderId="0" xfId="189" applyNumberFormat="1" applyFont="1" applyFill="1" applyBorder="1"/>
    <xf numFmtId="247" fontId="34" fillId="32" borderId="1" xfId="0" applyNumberFormat="1" applyFont="1" applyFill="1" applyBorder="1" applyAlignment="1">
      <alignment horizontal="right"/>
    </xf>
    <xf numFmtId="204" fontId="110" fillId="32" borderId="0" xfId="187" applyNumberFormat="1" applyFont="1" applyFill="1" applyAlignment="1">
      <alignment horizontal="right"/>
    </xf>
    <xf numFmtId="248" fontId="110" fillId="32" borderId="0" xfId="0" applyNumberFormat="1" applyFont="1" applyFill="1" applyAlignment="1">
      <alignment horizontal="right"/>
    </xf>
    <xf numFmtId="167" fontId="110" fillId="32" borderId="0" xfId="188" applyNumberFormat="1" applyFont="1" applyFill="1" applyBorder="1" applyAlignment="1">
      <alignment horizontal="center"/>
    </xf>
    <xf numFmtId="204" fontId="34" fillId="32" borderId="0" xfId="0" applyNumberFormat="1" applyFont="1" applyFill="1" applyAlignment="1" applyProtection="1">
      <alignment horizontal="centerContinuous"/>
      <protection locked="0"/>
    </xf>
    <xf numFmtId="0" fontId="112" fillId="32" borderId="5" xfId="0" applyFont="1" applyFill="1" applyBorder="1" applyAlignment="1" applyProtection="1">
      <alignment horizontal="center" vertical="center"/>
      <protection locked="0"/>
    </xf>
    <xf numFmtId="226" fontId="112" fillId="32" borderId="5" xfId="0" applyNumberFormat="1" applyFont="1" applyFill="1" applyBorder="1" applyAlignment="1" applyProtection="1">
      <alignment horizontal="center" vertical="center"/>
      <protection locked="0"/>
    </xf>
    <xf numFmtId="244" fontId="112" fillId="32" borderId="5" xfId="0" applyNumberFormat="1" applyFont="1" applyFill="1" applyBorder="1" applyAlignment="1" applyProtection="1">
      <alignment horizontal="center" vertical="center"/>
      <protection locked="0"/>
    </xf>
    <xf numFmtId="204" fontId="34" fillId="32" borderId="5" xfId="0" applyNumberFormat="1" applyFont="1" applyFill="1" applyBorder="1" applyAlignment="1" applyProtection="1">
      <alignment horizontal="right"/>
      <protection locked="0"/>
    </xf>
    <xf numFmtId="226" fontId="34" fillId="32" borderId="5" xfId="0" applyNumberFormat="1" applyFont="1" applyFill="1" applyBorder="1" applyAlignment="1" applyProtection="1">
      <alignment horizontal="center" vertical="center"/>
      <protection locked="0"/>
    </xf>
    <xf numFmtId="204" fontId="34" fillId="32" borderId="5" xfId="0" applyNumberFormat="1" applyFont="1" applyFill="1" applyBorder="1" applyAlignment="1" applyProtection="1">
      <alignment horizontal="centerContinuous"/>
      <protection locked="0"/>
    </xf>
    <xf numFmtId="227" fontId="70" fillId="32" borderId="0" xfId="188" applyNumberFormat="1" applyFont="1" applyFill="1" applyBorder="1" applyAlignment="1">
      <alignment horizontal="center"/>
    </xf>
    <xf numFmtId="204" fontId="83" fillId="32" borderId="0" xfId="187" applyNumberFormat="1" applyFont="1" applyFill="1" applyAlignment="1">
      <alignment horizontal="right"/>
    </xf>
    <xf numFmtId="204" fontId="69" fillId="32" borderId="0" xfId="187" applyNumberFormat="1" applyFont="1" applyFill="1" applyAlignment="1">
      <alignment horizontal="right"/>
    </xf>
    <xf numFmtId="0" fontId="110" fillId="32" borderId="5" xfId="0" applyFont="1" applyFill="1" applyBorder="1" applyAlignment="1">
      <alignment horizontal="center"/>
    </xf>
    <xf numFmtId="204" fontId="83" fillId="32" borderId="0" xfId="0" applyNumberFormat="1" applyFont="1" applyFill="1" applyAlignment="1">
      <alignment horizontal="right"/>
    </xf>
    <xf numFmtId="0" fontId="110" fillId="32" borderId="0" xfId="0" applyFont="1" applyFill="1" applyAlignment="1">
      <alignment horizontal="left" vertical="center" wrapText="1"/>
    </xf>
    <xf numFmtId="0" fontId="93" fillId="32" borderId="29" xfId="0" applyFont="1" applyFill="1" applyBorder="1" applyAlignment="1">
      <alignment horizontal="center" vertical="center"/>
    </xf>
    <xf numFmtId="0" fontId="69" fillId="32" borderId="6" xfId="0" applyFont="1" applyFill="1" applyBorder="1"/>
    <xf numFmtId="206" fontId="70" fillId="32" borderId="6" xfId="187" applyNumberFormat="1" applyFont="1" applyFill="1" applyBorder="1"/>
    <xf numFmtId="14" fontId="69" fillId="32" borderId="6" xfId="0" applyNumberFormat="1" applyFont="1" applyFill="1" applyBorder="1"/>
    <xf numFmtId="0" fontId="110" fillId="31" borderId="0" xfId="0" applyFont="1" applyFill="1"/>
    <xf numFmtId="0" fontId="112" fillId="31" borderId="0" xfId="0" applyFont="1" applyFill="1"/>
    <xf numFmtId="0" fontId="133" fillId="31" borderId="0" xfId="0" applyFont="1" applyFill="1"/>
    <xf numFmtId="248" fontId="70" fillId="31" borderId="0" xfId="0" applyNumberFormat="1" applyFont="1" applyFill="1" applyAlignment="1">
      <alignment horizontal="center"/>
    </xf>
    <xf numFmtId="167" fontId="70" fillId="31" borderId="6" xfId="0" applyNumberFormat="1" applyFont="1" applyFill="1" applyBorder="1" applyAlignment="1">
      <alignment horizontal="center"/>
    </xf>
    <xf numFmtId="248" fontId="115" fillId="31" borderId="0" xfId="0" applyNumberFormat="1" applyFont="1" applyFill="1" applyAlignment="1">
      <alignment horizontal="center"/>
    </xf>
    <xf numFmtId="167" fontId="115" fillId="31" borderId="6" xfId="0" applyNumberFormat="1" applyFont="1" applyFill="1" applyBorder="1" applyAlignment="1">
      <alignment horizontal="center"/>
    </xf>
    <xf numFmtId="0" fontId="92" fillId="31" borderId="6" xfId="0" applyFont="1" applyFill="1" applyBorder="1"/>
    <xf numFmtId="0" fontId="92" fillId="31" borderId="5" xfId="0" applyFont="1" applyFill="1" applyBorder="1"/>
    <xf numFmtId="0" fontId="92" fillId="31" borderId="25" xfId="0" applyFont="1" applyFill="1" applyBorder="1"/>
    <xf numFmtId="0" fontId="110" fillId="31" borderId="23" xfId="0" applyFont="1" applyFill="1" applyBorder="1"/>
    <xf numFmtId="0" fontId="112" fillId="31" borderId="23" xfId="0" applyFont="1" applyFill="1" applyBorder="1"/>
    <xf numFmtId="0" fontId="133" fillId="31" borderId="23" xfId="0" applyFont="1" applyFill="1" applyBorder="1"/>
    <xf numFmtId="0" fontId="90" fillId="31" borderId="23" xfId="0" applyFont="1" applyFill="1" applyBorder="1"/>
    <xf numFmtId="0" fontId="112" fillId="31" borderId="24" xfId="0" applyFont="1" applyFill="1" applyBorder="1"/>
    <xf numFmtId="0" fontId="90" fillId="31" borderId="24" xfId="0" applyFont="1" applyFill="1" applyBorder="1"/>
    <xf numFmtId="44" fontId="69" fillId="31" borderId="0" xfId="189" applyFont="1" applyFill="1" applyBorder="1" applyAlignment="1">
      <alignment horizontal="center"/>
    </xf>
    <xf numFmtId="0" fontId="92" fillId="32" borderId="23" xfId="0" applyFont="1" applyFill="1" applyBorder="1"/>
    <xf numFmtId="44" fontId="69" fillId="31" borderId="6" xfId="189" applyFont="1" applyFill="1" applyBorder="1" applyAlignment="1">
      <alignment horizontal="center"/>
    </xf>
    <xf numFmtId="0" fontId="92" fillId="32" borderId="24" xfId="0" applyFont="1" applyFill="1" applyBorder="1"/>
    <xf numFmtId="0" fontId="90" fillId="31" borderId="0" xfId="0" applyFont="1" applyFill="1"/>
    <xf numFmtId="0" fontId="108" fillId="31" borderId="0" xfId="0" applyFont="1" applyFill="1"/>
    <xf numFmtId="44" fontId="34" fillId="32" borderId="0" xfId="189" applyFont="1" applyFill="1" applyAlignment="1">
      <alignment horizontal="right"/>
    </xf>
    <xf numFmtId="0" fontId="112" fillId="32" borderId="23" xfId="0" applyFont="1" applyFill="1" applyBorder="1"/>
    <xf numFmtId="0" fontId="140" fillId="31" borderId="23" xfId="0" applyFont="1" applyFill="1" applyBorder="1"/>
    <xf numFmtId="7" fontId="69" fillId="31" borderId="0" xfId="0" applyNumberFormat="1" applyFont="1" applyFill="1"/>
    <xf numFmtId="7" fontId="69" fillId="31" borderId="6" xfId="0" applyNumberFormat="1" applyFont="1" applyFill="1" applyBorder="1"/>
    <xf numFmtId="0" fontId="146" fillId="32" borderId="0" xfId="0" applyFont="1" applyFill="1" applyAlignment="1">
      <alignment horizontal="right"/>
    </xf>
    <xf numFmtId="0" fontId="147" fillId="32" borderId="0" xfId="0" applyFont="1" applyFill="1" applyAlignment="1">
      <alignment horizontal="right"/>
    </xf>
    <xf numFmtId="0" fontId="19" fillId="32" borderId="0" xfId="0" applyFont="1" applyFill="1" applyAlignment="1">
      <alignment horizontal="right" vertical="center"/>
    </xf>
    <xf numFmtId="0" fontId="19" fillId="32" borderId="0" xfId="0" quotePrefix="1" applyFont="1" applyFill="1" applyAlignment="1">
      <alignment horizontal="right"/>
    </xf>
    <xf numFmtId="0" fontId="133" fillId="32" borderId="0" xfId="0" applyFont="1" applyFill="1"/>
    <xf numFmtId="0" fontId="143" fillId="32" borderId="0" xfId="194" applyFont="1" applyFill="1"/>
    <xf numFmtId="0" fontId="0" fillId="32" borderId="0" xfId="0" applyFill="1" applyAlignment="1">
      <alignment horizontal="centerContinuous"/>
    </xf>
    <xf numFmtId="0" fontId="148" fillId="32" borderId="0" xfId="0" applyFont="1" applyFill="1"/>
    <xf numFmtId="0" fontId="100" fillId="32" borderId="0" xfId="194" applyFont="1" applyFill="1"/>
    <xf numFmtId="0" fontId="100" fillId="32" borderId="0" xfId="0" applyFont="1" applyFill="1"/>
    <xf numFmtId="0" fontId="139" fillId="37" borderId="0" xfId="0" applyFont="1" applyFill="1" applyAlignment="1">
      <alignment horizontal="right"/>
    </xf>
    <xf numFmtId="0" fontId="149" fillId="32" borderId="19" xfId="0" applyFont="1" applyFill="1" applyBorder="1" applyAlignment="1">
      <alignment horizontal="centerContinuous"/>
    </xf>
    <xf numFmtId="245" fontId="110" fillId="32" borderId="68" xfId="0" applyNumberFormat="1" applyFont="1" applyFill="1" applyBorder="1" applyAlignment="1" applyProtection="1">
      <alignment horizontal="center"/>
      <protection locked="0"/>
    </xf>
    <xf numFmtId="245" fontId="110" fillId="32" borderId="69" xfId="0" applyNumberFormat="1" applyFont="1" applyFill="1" applyBorder="1" applyAlignment="1" applyProtection="1">
      <alignment horizontal="center"/>
      <protection locked="0"/>
    </xf>
    <xf numFmtId="245" fontId="110" fillId="32" borderId="70" xfId="0" applyNumberFormat="1" applyFont="1" applyFill="1" applyBorder="1" applyAlignment="1" applyProtection="1">
      <alignment horizontal="center"/>
      <protection locked="0"/>
    </xf>
    <xf numFmtId="245" fontId="110" fillId="32" borderId="71" xfId="0" applyNumberFormat="1" applyFont="1" applyFill="1" applyBorder="1" applyAlignment="1" applyProtection="1">
      <alignment horizontal="center"/>
      <protection locked="0"/>
    </xf>
    <xf numFmtId="245" fontId="110" fillId="32" borderId="72" xfId="0" applyNumberFormat="1" applyFont="1" applyFill="1" applyBorder="1" applyAlignment="1" applyProtection="1">
      <alignment horizontal="center"/>
      <protection locked="0"/>
    </xf>
    <xf numFmtId="245" fontId="110" fillId="32" borderId="73" xfId="0" applyNumberFormat="1" applyFont="1" applyFill="1" applyBorder="1" applyAlignment="1" applyProtection="1">
      <alignment horizontal="center"/>
      <protection locked="0"/>
    </xf>
    <xf numFmtId="245" fontId="110" fillId="32" borderId="74" xfId="0" applyNumberFormat="1" applyFont="1" applyFill="1" applyBorder="1" applyAlignment="1" applyProtection="1">
      <alignment horizontal="center"/>
      <protection locked="0"/>
    </xf>
    <xf numFmtId="245" fontId="110" fillId="32" borderId="75" xfId="0" applyNumberFormat="1" applyFont="1" applyFill="1" applyBorder="1" applyAlignment="1" applyProtection="1">
      <alignment horizontal="center"/>
      <protection locked="0"/>
    </xf>
    <xf numFmtId="167" fontId="110" fillId="32" borderId="0" xfId="188" applyNumberFormat="1" applyFont="1" applyFill="1" applyBorder="1"/>
    <xf numFmtId="0" fontId="83" fillId="32" borderId="60" xfId="0" applyFont="1" applyFill="1" applyBorder="1"/>
    <xf numFmtId="0" fontId="83" fillId="32" borderId="26" xfId="0" applyFont="1" applyFill="1" applyBorder="1"/>
    <xf numFmtId="0" fontId="110" fillId="32" borderId="1" xfId="0" applyFont="1" applyFill="1" applyBorder="1"/>
    <xf numFmtId="0" fontId="112" fillId="32" borderId="0" xfId="0" applyFont="1" applyFill="1" applyAlignment="1">
      <alignment horizontal="center"/>
    </xf>
    <xf numFmtId="0" fontId="112" fillId="32" borderId="6" xfId="0" applyFont="1" applyFill="1" applyBorder="1" applyAlignment="1">
      <alignment horizontal="center"/>
    </xf>
    <xf numFmtId="0" fontId="129" fillId="34" borderId="0" xfId="0" applyFont="1" applyFill="1"/>
    <xf numFmtId="0" fontId="129" fillId="34" borderId="0" xfId="0" applyFont="1" applyFill="1" applyAlignment="1">
      <alignment horizontal="center"/>
    </xf>
    <xf numFmtId="0" fontId="137" fillId="32" borderId="0" xfId="0" applyFont="1" applyFill="1" applyAlignment="1">
      <alignment horizontal="centerContinuous"/>
    </xf>
    <xf numFmtId="227" fontId="6" fillId="32" borderId="0" xfId="191" applyNumberFormat="1" applyFont="1" applyFill="1" applyAlignment="1">
      <alignment horizontal="left"/>
    </xf>
    <xf numFmtId="0" fontId="81" fillId="33" borderId="0" xfId="0" applyFont="1" applyFill="1" applyAlignment="1">
      <alignment vertical="center"/>
    </xf>
    <xf numFmtId="0" fontId="34" fillId="34" borderId="0" xfId="0" applyFont="1" applyFill="1" applyAlignment="1">
      <alignment vertical="center"/>
    </xf>
    <xf numFmtId="0" fontId="83" fillId="34" borderId="0" xfId="0" applyFont="1" applyFill="1"/>
    <xf numFmtId="0" fontId="129" fillId="34" borderId="23" xfId="0" applyFont="1" applyFill="1" applyBorder="1"/>
    <xf numFmtId="0" fontId="6" fillId="32" borderId="23" xfId="192" applyFill="1" applyBorder="1"/>
    <xf numFmtId="0" fontId="128" fillId="33" borderId="21" xfId="0" applyFont="1" applyFill="1" applyBorder="1"/>
    <xf numFmtId="0" fontId="128" fillId="33" borderId="22" xfId="0" applyFont="1" applyFill="1" applyBorder="1"/>
    <xf numFmtId="0" fontId="83" fillId="33" borderId="22" xfId="0" applyFont="1" applyFill="1" applyBorder="1"/>
    <xf numFmtId="0" fontId="128" fillId="33" borderId="16" xfId="0" applyFont="1" applyFill="1" applyBorder="1"/>
    <xf numFmtId="0" fontId="129" fillId="34" borderId="6" xfId="0" applyFont="1" applyFill="1" applyBorder="1" applyAlignment="1">
      <alignment horizontal="center"/>
    </xf>
    <xf numFmtId="0" fontId="83" fillId="32" borderId="6" xfId="0" applyFont="1" applyFill="1" applyBorder="1"/>
    <xf numFmtId="0" fontId="83" fillId="33" borderId="16" xfId="0" applyFont="1" applyFill="1" applyBorder="1"/>
    <xf numFmtId="204" fontId="110" fillId="32" borderId="0" xfId="187" applyNumberFormat="1" applyFont="1" applyFill="1" applyBorder="1" applyAlignment="1">
      <alignment horizontal="right"/>
    </xf>
    <xf numFmtId="204" fontId="70" fillId="32" borderId="0" xfId="187" applyNumberFormat="1" applyFont="1" applyFill="1" applyBorder="1"/>
    <xf numFmtId="204" fontId="6" fillId="32" borderId="0" xfId="187" applyNumberFormat="1" applyFont="1" applyFill="1" applyBorder="1"/>
    <xf numFmtId="204" fontId="110" fillId="32" borderId="0" xfId="187" applyNumberFormat="1" applyFont="1" applyFill="1" applyBorder="1"/>
    <xf numFmtId="204" fontId="80" fillId="32" borderId="0" xfId="0" applyNumberFormat="1" applyFont="1" applyFill="1"/>
    <xf numFmtId="204" fontId="70" fillId="32" borderId="0" xfId="187" applyNumberFormat="1" applyFont="1" applyFill="1" applyBorder="1" applyAlignment="1" applyProtection="1">
      <alignment horizontal="right"/>
    </xf>
    <xf numFmtId="204" fontId="6" fillId="32" borderId="0" xfId="187" applyNumberFormat="1" applyFont="1" applyFill="1" applyBorder="1" applyAlignment="1" applyProtection="1">
      <alignment horizontal="right"/>
    </xf>
    <xf numFmtId="169" fontId="83" fillId="32" borderId="0" xfId="187" applyNumberFormat="1" applyFont="1" applyFill="1" applyBorder="1" applyProtection="1"/>
    <xf numFmtId="0" fontId="6" fillId="33" borderId="0" xfId="192" applyFill="1" applyAlignment="1">
      <alignment vertical="center"/>
    </xf>
    <xf numFmtId="0" fontId="81" fillId="33" borderId="0" xfId="192" applyFont="1" applyFill="1" applyAlignment="1">
      <alignment vertical="center"/>
    </xf>
    <xf numFmtId="226" fontId="81" fillId="33" borderId="0" xfId="0" applyNumberFormat="1" applyFont="1" applyFill="1" applyAlignment="1">
      <alignment vertical="center"/>
    </xf>
    <xf numFmtId="0" fontId="92" fillId="34" borderId="0" xfId="0" applyFont="1" applyFill="1"/>
    <xf numFmtId="0" fontId="6" fillId="33" borderId="23" xfId="192" applyFill="1" applyBorder="1" applyAlignment="1">
      <alignment vertical="center"/>
    </xf>
    <xf numFmtId="0" fontId="34" fillId="34" borderId="23" xfId="0" applyFont="1" applyFill="1" applyBorder="1" applyAlignment="1">
      <alignment vertical="center"/>
    </xf>
    <xf numFmtId="0" fontId="6" fillId="33" borderId="21" xfId="192" applyFill="1" applyBorder="1" applyAlignment="1">
      <alignment vertical="center"/>
    </xf>
    <xf numFmtId="0" fontId="6" fillId="33" borderId="22" xfId="192" applyFill="1" applyBorder="1" applyAlignment="1">
      <alignment vertical="center"/>
    </xf>
    <xf numFmtId="0" fontId="85" fillId="33" borderId="22" xfId="192" applyFont="1" applyFill="1" applyBorder="1" applyAlignment="1">
      <alignment vertical="center"/>
    </xf>
    <xf numFmtId="0" fontId="86" fillId="33" borderId="22" xfId="192" applyFont="1" applyFill="1" applyBorder="1" applyAlignment="1">
      <alignment horizontal="centerContinuous" vertical="center"/>
    </xf>
    <xf numFmtId="0" fontId="87" fillId="33" borderId="22" xfId="192" applyFont="1" applyFill="1" applyBorder="1" applyAlignment="1">
      <alignment horizontal="centerContinuous" vertical="center"/>
    </xf>
    <xf numFmtId="0" fontId="6" fillId="33" borderId="16" xfId="192" applyFill="1" applyBorder="1" applyAlignment="1">
      <alignment vertical="center"/>
    </xf>
    <xf numFmtId="0" fontId="6" fillId="33" borderId="6" xfId="192" applyFill="1" applyBorder="1" applyAlignment="1">
      <alignment vertical="center"/>
    </xf>
    <xf numFmtId="0" fontId="34" fillId="34" borderId="6" xfId="0" applyFont="1" applyFill="1" applyBorder="1" applyAlignment="1">
      <alignment vertical="center"/>
    </xf>
    <xf numFmtId="0" fontId="85" fillId="33" borderId="21" xfId="192" applyFont="1" applyFill="1" applyBorder="1" applyAlignment="1">
      <alignment vertical="center"/>
    </xf>
    <xf numFmtId="0" fontId="92" fillId="34" borderId="6" xfId="0" applyFont="1" applyFill="1" applyBorder="1"/>
    <xf numFmtId="0" fontId="81" fillId="33" borderId="21" xfId="192" applyFont="1" applyFill="1" applyBorder="1" applyAlignment="1">
      <alignment vertical="center"/>
    </xf>
    <xf numFmtId="0" fontId="81" fillId="33" borderId="22" xfId="192" applyFont="1" applyFill="1" applyBorder="1" applyAlignment="1">
      <alignment vertical="center"/>
    </xf>
    <xf numFmtId="0" fontId="81" fillId="33" borderId="16" xfId="192" applyFont="1" applyFill="1" applyBorder="1" applyAlignment="1">
      <alignment vertical="center"/>
    </xf>
    <xf numFmtId="240" fontId="68" fillId="32" borderId="0" xfId="187" applyNumberFormat="1" applyFont="1" applyFill="1" applyBorder="1" applyProtection="1"/>
    <xf numFmtId="224" fontId="115" fillId="35" borderId="76" xfId="0" applyNumberFormat="1" applyFont="1" applyFill="1" applyBorder="1" applyAlignment="1">
      <alignment horizontal="center"/>
    </xf>
    <xf numFmtId="10" fontId="110" fillId="32" borderId="0" xfId="188" applyNumberFormat="1" applyFont="1" applyFill="1" applyBorder="1" applyAlignment="1">
      <alignment horizontal="right"/>
    </xf>
    <xf numFmtId="0" fontId="83" fillId="32" borderId="1" xfId="0" applyFont="1" applyFill="1" applyBorder="1"/>
    <xf numFmtId="0" fontId="68" fillId="32" borderId="0" xfId="0" applyFont="1" applyFill="1" applyAlignment="1">
      <alignment horizontal="left"/>
    </xf>
    <xf numFmtId="0" fontId="81" fillId="33" borderId="21" xfId="0" applyFont="1" applyFill="1" applyBorder="1" applyAlignment="1">
      <alignment vertical="center"/>
    </xf>
    <xf numFmtId="0" fontId="110" fillId="32" borderId="23" xfId="0" applyFont="1" applyFill="1" applyBorder="1" applyAlignment="1">
      <alignment horizontal="center" vertical="center"/>
    </xf>
    <xf numFmtId="0" fontId="83" fillId="32" borderId="23" xfId="0" applyFont="1" applyFill="1" applyBorder="1" applyAlignment="1">
      <alignment horizontal="center" vertical="center"/>
    </xf>
    <xf numFmtId="0" fontId="83" fillId="32" borderId="24" xfId="0" applyFont="1" applyFill="1" applyBorder="1" applyAlignment="1">
      <alignment horizontal="center" vertical="center"/>
    </xf>
    <xf numFmtId="0" fontId="83" fillId="32" borderId="5" xfId="0" applyFont="1" applyFill="1" applyBorder="1" applyAlignment="1">
      <alignment horizontal="left"/>
    </xf>
    <xf numFmtId="0" fontId="83" fillId="32" borderId="25" xfId="0" applyFont="1" applyFill="1" applyBorder="1"/>
    <xf numFmtId="14" fontId="83" fillId="32" borderId="0" xfId="0" applyNumberFormat="1" applyFont="1" applyFill="1" applyAlignment="1">
      <alignment horizontal="left"/>
    </xf>
    <xf numFmtId="0" fontId="81" fillId="33" borderId="77" xfId="0" applyFont="1" applyFill="1" applyBorder="1" applyAlignment="1">
      <alignment vertical="center"/>
    </xf>
    <xf numFmtId="0" fontId="83" fillId="33" borderId="77" xfId="0" applyFont="1" applyFill="1" applyBorder="1"/>
    <xf numFmtId="37" fontId="68" fillId="32" borderId="1" xfId="0" applyNumberFormat="1" applyFont="1" applyFill="1" applyBorder="1" applyAlignment="1">
      <alignment horizontal="right"/>
    </xf>
    <xf numFmtId="0" fontId="81" fillId="33" borderId="78" xfId="0" applyFont="1" applyFill="1" applyBorder="1" applyAlignment="1">
      <alignment vertical="center"/>
    </xf>
    <xf numFmtId="0" fontId="34" fillId="34" borderId="62" xfId="0" applyFont="1" applyFill="1" applyBorder="1" applyAlignment="1">
      <alignment vertical="center"/>
    </xf>
    <xf numFmtId="0" fontId="83" fillId="32" borderId="79" xfId="0" applyFont="1" applyFill="1" applyBorder="1"/>
    <xf numFmtId="0" fontId="83" fillId="33" borderId="80" xfId="0" applyFont="1" applyFill="1" applyBorder="1"/>
    <xf numFmtId="0" fontId="83" fillId="34" borderId="63" xfId="0" applyFont="1" applyFill="1" applyBorder="1"/>
    <xf numFmtId="7" fontId="70" fillId="32" borderId="63" xfId="0" applyNumberFormat="1" applyFont="1" applyFill="1" applyBorder="1" applyAlignment="1">
      <alignment horizontal="right"/>
    </xf>
    <xf numFmtId="14" fontId="70" fillId="32" borderId="63" xfId="0" applyNumberFormat="1" applyFont="1" applyFill="1" applyBorder="1" applyAlignment="1">
      <alignment horizontal="right"/>
    </xf>
    <xf numFmtId="169" fontId="70" fillId="32" borderId="63" xfId="0" applyNumberFormat="1" applyFont="1" applyFill="1" applyBorder="1" applyAlignment="1">
      <alignment horizontal="right"/>
    </xf>
    <xf numFmtId="242" fontId="70" fillId="32" borderId="63" xfId="187" applyNumberFormat="1" applyFont="1" applyFill="1" applyBorder="1" applyAlignment="1">
      <alignment horizontal="right"/>
    </xf>
    <xf numFmtId="44" fontId="70" fillId="32" borderId="63" xfId="189" applyFont="1" applyFill="1" applyBorder="1" applyAlignment="1">
      <alignment horizontal="right"/>
    </xf>
    <xf numFmtId="44" fontId="68" fillId="32" borderId="64" xfId="189" quotePrefix="1" applyFont="1" applyFill="1" applyBorder="1" applyAlignment="1">
      <alignment horizontal="right"/>
    </xf>
    <xf numFmtId="0" fontId="73" fillId="32" borderId="0" xfId="0" applyFont="1" applyFill="1" applyAlignment="1">
      <alignment vertical="center"/>
    </xf>
    <xf numFmtId="0" fontId="67" fillId="32" borderId="0" xfId="0" applyFont="1" applyFill="1" applyAlignment="1">
      <alignment horizontal="centerContinuous" vertical="center"/>
    </xf>
    <xf numFmtId="0" fontId="73" fillId="32" borderId="0" xfId="0" applyFont="1" applyFill="1" applyAlignment="1">
      <alignment horizontal="centerContinuous" vertical="center"/>
    </xf>
    <xf numFmtId="0" fontId="110" fillId="32" borderId="0" xfId="0" applyFont="1" applyFill="1" applyAlignment="1">
      <alignment horizontal="centerContinuous"/>
    </xf>
    <xf numFmtId="241" fontId="70" fillId="32" borderId="0" xfId="0" quotePrefix="1" applyNumberFormat="1" applyFont="1" applyFill="1" applyAlignment="1">
      <alignment horizontal="centerContinuous"/>
    </xf>
    <xf numFmtId="241" fontId="70" fillId="32" borderId="1" xfId="0" quotePrefix="1" applyNumberFormat="1" applyFont="1" applyFill="1" applyBorder="1" applyAlignment="1">
      <alignment horizontal="centerContinuous"/>
    </xf>
    <xf numFmtId="0" fontId="83" fillId="32" borderId="1" xfId="0" applyFont="1" applyFill="1" applyBorder="1" applyAlignment="1">
      <alignment horizontal="centerContinuous"/>
    </xf>
    <xf numFmtId="0" fontId="110" fillId="32" borderId="62" xfId="0" applyFont="1" applyFill="1" applyBorder="1" applyAlignment="1">
      <alignment horizontal="center" vertical="center"/>
    </xf>
    <xf numFmtId="0" fontId="136" fillId="32" borderId="62" xfId="0" applyFont="1" applyFill="1" applyBorder="1" applyAlignment="1">
      <alignment vertical="center"/>
    </xf>
    <xf numFmtId="0" fontId="110" fillId="32" borderId="79" xfId="0" applyFont="1" applyFill="1" applyBorder="1" applyAlignment="1">
      <alignment horizontal="left"/>
    </xf>
    <xf numFmtId="0" fontId="83" fillId="32" borderId="63" xfId="0" applyFont="1" applyFill="1" applyBorder="1"/>
    <xf numFmtId="0" fontId="73" fillId="32" borderId="63" xfId="0" applyFont="1" applyFill="1" applyBorder="1" applyAlignment="1">
      <alignment horizontal="centerContinuous" vertical="center"/>
    </xf>
    <xf numFmtId="0" fontId="83" fillId="32" borderId="63" xfId="0" applyFont="1" applyFill="1" applyBorder="1" applyAlignment="1">
      <alignment horizontal="centerContinuous"/>
    </xf>
    <xf numFmtId="0" fontId="110" fillId="32" borderId="63" xfId="0" applyFont="1" applyFill="1" applyBorder="1" applyAlignment="1">
      <alignment horizontal="centerContinuous"/>
    </xf>
    <xf numFmtId="0" fontId="110" fillId="32" borderId="64" xfId="0" applyFont="1" applyFill="1" applyBorder="1" applyAlignment="1">
      <alignment horizontal="centerContinuous"/>
    </xf>
    <xf numFmtId="0" fontId="83" fillId="32" borderId="62" xfId="0" applyFont="1" applyFill="1" applyBorder="1"/>
    <xf numFmtId="0" fontId="110" fillId="32" borderId="62" xfId="0" quotePrefix="1" applyFont="1" applyFill="1" applyBorder="1" applyAlignment="1">
      <alignment horizontal="left"/>
    </xf>
    <xf numFmtId="9" fontId="110" fillId="32" borderId="62" xfId="188" applyFont="1" applyFill="1" applyBorder="1"/>
    <xf numFmtId="167" fontId="69" fillId="32" borderId="63" xfId="0" applyNumberFormat="1" applyFont="1" applyFill="1" applyBorder="1" applyAlignment="1">
      <alignment horizontal="right"/>
    </xf>
    <xf numFmtId="10" fontId="69" fillId="32" borderId="63" xfId="0" applyNumberFormat="1" applyFont="1" applyFill="1" applyBorder="1" applyAlignment="1">
      <alignment horizontal="right"/>
    </xf>
    <xf numFmtId="0" fontId="83" fillId="32" borderId="64" xfId="0" applyFont="1" applyFill="1" applyBorder="1"/>
    <xf numFmtId="233" fontId="68" fillId="32" borderId="0" xfId="0" applyNumberFormat="1" applyFont="1" applyFill="1"/>
    <xf numFmtId="0" fontId="108" fillId="32" borderId="5" xfId="0" applyFont="1" applyFill="1" applyBorder="1"/>
    <xf numFmtId="0" fontId="83" fillId="32" borderId="1" xfId="0" applyFont="1" applyFill="1" applyBorder="1" applyAlignment="1">
      <alignment horizontal="left"/>
    </xf>
    <xf numFmtId="233" fontId="68" fillId="32" borderId="1" xfId="0" applyNumberFormat="1" applyFont="1" applyFill="1" applyBorder="1"/>
    <xf numFmtId="0" fontId="108" fillId="32" borderId="1" xfId="0" applyFont="1" applyFill="1" applyBorder="1"/>
    <xf numFmtId="0" fontId="110" fillId="32" borderId="62" xfId="0" applyFont="1" applyFill="1" applyBorder="1" applyAlignment="1">
      <alignment horizontal="left" vertical="center"/>
    </xf>
    <xf numFmtId="0" fontId="110" fillId="32" borderId="79" xfId="0" applyFont="1" applyFill="1" applyBorder="1" applyAlignment="1">
      <alignment horizontal="left" vertical="center"/>
    </xf>
    <xf numFmtId="227" fontId="69" fillId="32" borderId="63" xfId="0" applyNumberFormat="1" applyFont="1" applyFill="1" applyBorder="1" applyAlignment="1">
      <alignment horizontal="right"/>
    </xf>
    <xf numFmtId="167" fontId="70" fillId="32" borderId="63" xfId="0" applyNumberFormat="1" applyFont="1" applyFill="1" applyBorder="1" applyAlignment="1">
      <alignment horizontal="right"/>
    </xf>
    <xf numFmtId="167" fontId="70" fillId="32" borderId="64" xfId="0" applyNumberFormat="1" applyFont="1" applyFill="1" applyBorder="1"/>
    <xf numFmtId="0" fontId="68" fillId="32" borderId="0" xfId="0" applyFont="1" applyFill="1"/>
    <xf numFmtId="0" fontId="67" fillId="32" borderId="62" xfId="0" applyFont="1" applyFill="1" applyBorder="1"/>
    <xf numFmtId="0" fontId="110" fillId="32" borderId="62" xfId="0" applyFont="1" applyFill="1" applyBorder="1" applyAlignment="1">
      <alignment horizontal="left"/>
    </xf>
    <xf numFmtId="234" fontId="110" fillId="32" borderId="62" xfId="0" applyNumberFormat="1" applyFont="1" applyFill="1" applyBorder="1" applyAlignment="1">
      <alignment horizontal="left"/>
    </xf>
    <xf numFmtId="167" fontId="68" fillId="32" borderId="63" xfId="0" applyNumberFormat="1" applyFont="1" applyFill="1" applyBorder="1" applyAlignment="1">
      <alignment horizontal="right"/>
    </xf>
    <xf numFmtId="252" fontId="70" fillId="32" borderId="63" xfId="0" applyNumberFormat="1" applyFont="1" applyFill="1" applyBorder="1" applyAlignment="1">
      <alignment horizontal="right"/>
    </xf>
    <xf numFmtId="0" fontId="83" fillId="32" borderId="0" xfId="0" applyFont="1" applyFill="1" applyAlignment="1">
      <alignment horizontal="left" vertical="center"/>
    </xf>
    <xf numFmtId="234" fontId="83" fillId="32" borderId="0" xfId="0" quotePrefix="1" applyNumberFormat="1" applyFont="1" applyFill="1" applyAlignment="1">
      <alignment horizontal="left"/>
    </xf>
    <xf numFmtId="235" fontId="68" fillId="32" borderId="0" xfId="0" applyNumberFormat="1" applyFont="1" applyFill="1" applyAlignment="1">
      <alignment horizontal="right"/>
    </xf>
    <xf numFmtId="0" fontId="83" fillId="33" borderId="22" xfId="0" applyFont="1" applyFill="1" applyBorder="1" applyAlignment="1">
      <alignment vertical="center"/>
    </xf>
    <xf numFmtId="0" fontId="83" fillId="33" borderId="77" xfId="0" applyFont="1" applyFill="1" applyBorder="1" applyAlignment="1">
      <alignment vertical="center"/>
    </xf>
    <xf numFmtId="234" fontId="83" fillId="32" borderId="5" xfId="0" quotePrefix="1" applyNumberFormat="1" applyFont="1" applyFill="1" applyBorder="1" applyAlignment="1">
      <alignment horizontal="left"/>
    </xf>
    <xf numFmtId="0" fontId="104" fillId="32" borderId="1" xfId="0" applyFont="1" applyFill="1" applyBorder="1"/>
    <xf numFmtId="0" fontId="83" fillId="32" borderId="79" xfId="0" applyFont="1" applyFill="1" applyBorder="1" applyAlignment="1">
      <alignment horizontal="left" vertical="center"/>
    </xf>
    <xf numFmtId="0" fontId="83" fillId="33" borderId="80" xfId="0" applyFont="1" applyFill="1" applyBorder="1" applyAlignment="1">
      <alignment vertical="center"/>
    </xf>
    <xf numFmtId="167" fontId="70" fillId="32" borderId="63" xfId="188" applyNumberFormat="1" applyFont="1" applyFill="1" applyBorder="1" applyAlignment="1">
      <alignment horizontal="right"/>
    </xf>
    <xf numFmtId="168" fontId="68" fillId="32" borderId="0" xfId="0" applyNumberFormat="1" applyFont="1" applyFill="1" applyAlignment="1">
      <alignment horizontal="right"/>
    </xf>
    <xf numFmtId="167" fontId="70" fillId="32" borderId="63" xfId="0" quotePrefix="1" applyNumberFormat="1" applyFont="1" applyFill="1" applyBorder="1" applyAlignment="1">
      <alignment horizontal="right"/>
    </xf>
    <xf numFmtId="0" fontId="83" fillId="32" borderId="62" xfId="0" applyFont="1" applyFill="1" applyBorder="1" applyAlignment="1">
      <alignment horizontal="left" vertical="center"/>
    </xf>
    <xf numFmtId="206" fontId="70" fillId="32" borderId="63" xfId="187" applyNumberFormat="1" applyFont="1" applyFill="1" applyBorder="1" applyAlignment="1">
      <alignment horizontal="right"/>
    </xf>
    <xf numFmtId="0" fontId="136" fillId="32" borderId="62" xfId="0" applyFont="1" applyFill="1" applyBorder="1"/>
    <xf numFmtId="0" fontId="83" fillId="32" borderId="62" xfId="0" applyFont="1" applyFill="1" applyBorder="1" applyAlignment="1">
      <alignment horizontal="left"/>
    </xf>
    <xf numFmtId="0" fontId="110" fillId="0" borderId="62" xfId="0" applyFont="1" applyBorder="1"/>
    <xf numFmtId="0" fontId="110" fillId="32" borderId="63" xfId="0" applyFont="1" applyFill="1" applyBorder="1"/>
    <xf numFmtId="246" fontId="70" fillId="32" borderId="63" xfId="0" applyNumberFormat="1" applyFont="1" applyFill="1" applyBorder="1" applyAlignment="1">
      <alignment horizontal="right"/>
    </xf>
    <xf numFmtId="253" fontId="70" fillId="32" borderId="64" xfId="0" applyNumberFormat="1" applyFont="1" applyFill="1" applyBorder="1"/>
    <xf numFmtId="10" fontId="70" fillId="32" borderId="0" xfId="188" applyNumberFormat="1" applyFont="1" applyFill="1" applyBorder="1"/>
    <xf numFmtId="0" fontId="83" fillId="32" borderId="0" xfId="0" quotePrefix="1" applyFont="1" applyFill="1"/>
    <xf numFmtId="168" fontId="110" fillId="32" borderId="0" xfId="0" applyNumberFormat="1" applyFont="1" applyFill="1" applyProtection="1">
      <protection locked="0"/>
    </xf>
    <xf numFmtId="0" fontId="83" fillId="32" borderId="0" xfId="0" quotePrefix="1" applyFont="1" applyFill="1" applyProtection="1">
      <protection locked="0"/>
    </xf>
    <xf numFmtId="243" fontId="110" fillId="32" borderId="0" xfId="0" applyNumberFormat="1" applyFont="1" applyFill="1"/>
    <xf numFmtId="243" fontId="110" fillId="32" borderId="0" xfId="0" applyNumberFormat="1" applyFont="1" applyFill="1" applyProtection="1">
      <protection locked="0"/>
    </xf>
    <xf numFmtId="243" fontId="70" fillId="32" borderId="0" xfId="0" applyNumberFormat="1" applyFont="1" applyFill="1"/>
    <xf numFmtId="243" fontId="110" fillId="32" borderId="0" xfId="0" quotePrefix="1" applyNumberFormat="1" applyFont="1" applyFill="1" applyProtection="1">
      <protection locked="0"/>
    </xf>
    <xf numFmtId="243" fontId="83" fillId="32" borderId="0" xfId="0" applyNumberFormat="1" applyFont="1" applyFill="1" applyProtection="1">
      <protection locked="0"/>
    </xf>
    <xf numFmtId="243" fontId="83" fillId="32" borderId="0" xfId="0" quotePrefix="1" applyNumberFormat="1" applyFont="1" applyFill="1" applyProtection="1">
      <protection locked="0"/>
    </xf>
    <xf numFmtId="232" fontId="70" fillId="32" borderId="0" xfId="0" applyNumberFormat="1" applyFont="1" applyFill="1" applyProtection="1">
      <protection locked="0"/>
    </xf>
    <xf numFmtId="232" fontId="110" fillId="32" borderId="0" xfId="0" applyNumberFormat="1" applyFont="1" applyFill="1" applyProtection="1">
      <protection locked="0"/>
    </xf>
    <xf numFmtId="0" fontId="92" fillId="33" borderId="77" xfId="0" applyFont="1" applyFill="1" applyBorder="1" applyAlignment="1">
      <alignment vertical="center"/>
    </xf>
    <xf numFmtId="232" fontId="70" fillId="32" borderId="1" xfId="0" applyNumberFormat="1" applyFont="1" applyFill="1" applyBorder="1" applyProtection="1">
      <protection locked="0"/>
    </xf>
    <xf numFmtId="232" fontId="110" fillId="32" borderId="1" xfId="0" applyNumberFormat="1" applyFont="1" applyFill="1" applyBorder="1" applyProtection="1">
      <protection locked="0"/>
    </xf>
    <xf numFmtId="0" fontId="92" fillId="32" borderId="62" xfId="0" applyFont="1" applyFill="1" applyBorder="1"/>
    <xf numFmtId="0" fontId="112" fillId="32" borderId="62" xfId="0" applyFont="1" applyFill="1" applyBorder="1"/>
    <xf numFmtId="0" fontId="83" fillId="32" borderId="62" xfId="0" applyFont="1" applyFill="1" applyBorder="1" applyAlignment="1">
      <alignment horizontal="center" vertical="center"/>
    </xf>
    <xf numFmtId="0" fontId="112" fillId="32" borderId="79" xfId="0" applyFont="1" applyFill="1" applyBorder="1"/>
    <xf numFmtId="0" fontId="81" fillId="33" borderId="80" xfId="0" applyFont="1" applyFill="1" applyBorder="1" applyAlignment="1">
      <alignment vertical="center"/>
    </xf>
    <xf numFmtId="0" fontId="92" fillId="34" borderId="63" xfId="0" applyFont="1" applyFill="1" applyBorder="1"/>
    <xf numFmtId="0" fontId="92" fillId="32" borderId="63" xfId="0" applyFont="1" applyFill="1" applyBorder="1"/>
    <xf numFmtId="10" fontId="70" fillId="32" borderId="63" xfId="188" applyNumberFormat="1" applyFont="1" applyFill="1" applyBorder="1"/>
    <xf numFmtId="168" fontId="110" fillId="32" borderId="63" xfId="0" applyNumberFormat="1" applyFont="1" applyFill="1" applyBorder="1" applyProtection="1">
      <protection locked="0"/>
    </xf>
    <xf numFmtId="0" fontId="83" fillId="32" borderId="63" xfId="0" applyFont="1" applyFill="1" applyBorder="1" applyProtection="1">
      <protection locked="0"/>
    </xf>
    <xf numFmtId="243" fontId="110" fillId="32" borderId="63" xfId="0" applyNumberFormat="1" applyFont="1" applyFill="1" applyBorder="1" applyProtection="1">
      <protection locked="0"/>
    </xf>
    <xf numFmtId="243" fontId="83" fillId="32" borderId="63" xfId="0" applyNumberFormat="1" applyFont="1" applyFill="1" applyBorder="1" applyProtection="1">
      <protection locked="0"/>
    </xf>
    <xf numFmtId="232" fontId="110" fillId="32" borderId="63" xfId="0" applyNumberFormat="1" applyFont="1" applyFill="1" applyBorder="1" applyProtection="1">
      <protection locked="0"/>
    </xf>
    <xf numFmtId="232" fontId="110" fillId="32" borderId="64" xfId="0" applyNumberFormat="1" applyFont="1" applyFill="1" applyBorder="1" applyProtection="1">
      <protection locked="0"/>
    </xf>
    <xf numFmtId="44" fontId="110" fillId="32" borderId="0" xfId="189" applyFont="1" applyFill="1"/>
    <xf numFmtId="206" fontId="110" fillId="32" borderId="22" xfId="187" applyNumberFormat="1" applyFont="1" applyFill="1" applyBorder="1" applyProtection="1"/>
    <xf numFmtId="206" fontId="110" fillId="32" borderId="16" xfId="187" applyNumberFormat="1" applyFont="1" applyFill="1" applyBorder="1" applyProtection="1"/>
    <xf numFmtId="206" fontId="69" fillId="32" borderId="0" xfId="187" applyNumberFormat="1" applyFont="1" applyFill="1" applyBorder="1" applyProtection="1"/>
    <xf numFmtId="206" fontId="110" fillId="32" borderId="0" xfId="187" applyNumberFormat="1" applyFont="1" applyFill="1" applyBorder="1" applyProtection="1"/>
    <xf numFmtId="206" fontId="110" fillId="32" borderId="6" xfId="187" applyNumberFormat="1" applyFont="1" applyFill="1" applyBorder="1" applyProtection="1"/>
    <xf numFmtId="206" fontId="110" fillId="32" borderId="5" xfId="187" applyNumberFormat="1" applyFont="1" applyFill="1" applyBorder="1" applyProtection="1"/>
    <xf numFmtId="206" fontId="110" fillId="32" borderId="25" xfId="187" applyNumberFormat="1" applyFont="1" applyFill="1" applyBorder="1" applyProtection="1"/>
    <xf numFmtId="206" fontId="112" fillId="32" borderId="22" xfId="187" applyNumberFormat="1" applyFont="1" applyFill="1" applyBorder="1" applyAlignment="1" applyProtection="1">
      <alignment horizontal="right"/>
    </xf>
    <xf numFmtId="206" fontId="112" fillId="32" borderId="0" xfId="187" applyNumberFormat="1" applyFont="1" applyFill="1" applyBorder="1" applyProtection="1"/>
    <xf numFmtId="206" fontId="112" fillId="32" borderId="20" xfId="187" applyNumberFormat="1" applyFont="1" applyFill="1" applyBorder="1"/>
    <xf numFmtId="206" fontId="110" fillId="32" borderId="0" xfId="187" applyNumberFormat="1" applyFont="1" applyFill="1" applyProtection="1"/>
    <xf numFmtId="206" fontId="110" fillId="32" borderId="0" xfId="187" applyNumberFormat="1" applyFont="1" applyFill="1" applyProtection="1">
      <protection locked="0"/>
    </xf>
    <xf numFmtId="206" fontId="112" fillId="32" borderId="20" xfId="187" applyNumberFormat="1" applyFont="1" applyFill="1" applyBorder="1" applyProtection="1"/>
    <xf numFmtId="206" fontId="112" fillId="32" borderId="22" xfId="187" applyNumberFormat="1" applyFont="1" applyFill="1" applyBorder="1" applyProtection="1"/>
    <xf numFmtId="206" fontId="69" fillId="32" borderId="0" xfId="187" applyNumberFormat="1" applyFont="1" applyFill="1" applyProtection="1"/>
    <xf numFmtId="206" fontId="70" fillId="32" borderId="0" xfId="187" applyNumberFormat="1" applyFont="1" applyFill="1" applyBorder="1" applyProtection="1">
      <protection locked="0"/>
    </xf>
    <xf numFmtId="206" fontId="70" fillId="32" borderId="0" xfId="187" applyNumberFormat="1" applyFont="1" applyFill="1" applyBorder="1" applyAlignment="1" applyProtection="1">
      <alignment horizontal="right"/>
      <protection locked="0"/>
    </xf>
    <xf numFmtId="206" fontId="69" fillId="32" borderId="0" xfId="187" applyNumberFormat="1" applyFont="1" applyFill="1" applyBorder="1" applyAlignment="1" applyProtection="1">
      <alignment horizontal="right"/>
    </xf>
    <xf numFmtId="254" fontId="112" fillId="32" borderId="26" xfId="188" applyNumberFormat="1" applyFont="1" applyFill="1" applyBorder="1" applyAlignment="1">
      <alignment vertical="center"/>
    </xf>
    <xf numFmtId="254" fontId="112" fillId="32" borderId="8" xfId="188" applyNumberFormat="1" applyFont="1" applyFill="1" applyBorder="1" applyAlignment="1">
      <alignment vertical="center"/>
    </xf>
    <xf numFmtId="254" fontId="34" fillId="32" borderId="0" xfId="0" applyNumberFormat="1" applyFont="1" applyFill="1"/>
    <xf numFmtId="254" fontId="110" fillId="32" borderId="36" xfId="188" applyNumberFormat="1" applyFont="1" applyFill="1" applyBorder="1" applyProtection="1"/>
    <xf numFmtId="254" fontId="110" fillId="32" borderId="37" xfId="188" applyNumberFormat="1" applyFont="1" applyFill="1" applyBorder="1" applyProtection="1"/>
    <xf numFmtId="254" fontId="110" fillId="32" borderId="38" xfId="188" applyNumberFormat="1" applyFont="1" applyFill="1" applyBorder="1"/>
    <xf numFmtId="254" fontId="69" fillId="32" borderId="39" xfId="188" applyNumberFormat="1" applyFont="1" applyFill="1" applyBorder="1" applyProtection="1"/>
    <xf numFmtId="254" fontId="69" fillId="32" borderId="0" xfId="188" applyNumberFormat="1" applyFont="1" applyFill="1" applyBorder="1" applyProtection="1"/>
    <xf numFmtId="254" fontId="69" fillId="32" borderId="40" xfId="188" applyNumberFormat="1" applyFont="1" applyFill="1" applyBorder="1" applyProtection="1"/>
    <xf numFmtId="254" fontId="110" fillId="32" borderId="41" xfId="188" applyNumberFormat="1" applyFont="1" applyFill="1" applyBorder="1" applyProtection="1"/>
    <xf numFmtId="254" fontId="110" fillId="32" borderId="33" xfId="188" applyNumberFormat="1" applyFont="1" applyFill="1" applyBorder="1" applyProtection="1"/>
    <xf numFmtId="254" fontId="110" fillId="32" borderId="42" xfId="188" applyNumberFormat="1" applyFont="1" applyFill="1" applyBorder="1" applyProtection="1"/>
    <xf numFmtId="0" fontId="112" fillId="32" borderId="24" xfId="0" applyFont="1" applyFill="1" applyBorder="1" applyProtection="1">
      <protection locked="0"/>
    </xf>
    <xf numFmtId="206" fontId="110" fillId="32" borderId="0" xfId="187" applyNumberFormat="1" applyFont="1" applyFill="1" applyBorder="1" applyAlignment="1" applyProtection="1">
      <alignment horizontal="right"/>
      <protection locked="0"/>
    </xf>
    <xf numFmtId="206" fontId="70" fillId="32" borderId="0" xfId="187" applyNumberFormat="1" applyFont="1" applyFill="1" applyProtection="1">
      <protection locked="0"/>
    </xf>
    <xf numFmtId="206" fontId="69" fillId="32" borderId="0" xfId="187" applyNumberFormat="1" applyFont="1" applyFill="1"/>
    <xf numFmtId="206" fontId="110" fillId="32" borderId="0" xfId="187" applyNumberFormat="1" applyFont="1" applyFill="1"/>
    <xf numFmtId="206" fontId="112" fillId="32" borderId="0" xfId="187" applyNumberFormat="1" applyFont="1" applyFill="1"/>
    <xf numFmtId="206" fontId="110" fillId="32" borderId="22" xfId="187" applyNumberFormat="1" applyFont="1" applyFill="1" applyBorder="1"/>
    <xf numFmtId="206" fontId="112" fillId="32" borderId="0" xfId="187" applyNumberFormat="1" applyFont="1" applyFill="1" applyProtection="1"/>
    <xf numFmtId="206" fontId="69" fillId="32" borderId="6" xfId="187" applyNumberFormat="1" applyFont="1" applyFill="1" applyBorder="1" applyProtection="1"/>
    <xf numFmtId="206" fontId="118" fillId="32" borderId="0" xfId="187" applyNumberFormat="1" applyFont="1" applyFill="1" applyBorder="1" applyProtection="1"/>
    <xf numFmtId="206" fontId="135" fillId="32" borderId="0" xfId="187" applyNumberFormat="1" applyFont="1" applyFill="1" applyBorder="1" applyProtection="1"/>
    <xf numFmtId="206" fontId="135" fillId="32" borderId="6" xfId="187" applyNumberFormat="1" applyFont="1" applyFill="1" applyBorder="1" applyProtection="1"/>
    <xf numFmtId="10" fontId="65" fillId="32" borderId="0" xfId="0" applyNumberFormat="1" applyFont="1" applyFill="1" applyAlignment="1">
      <alignment horizontal="right"/>
    </xf>
    <xf numFmtId="10" fontId="6" fillId="32" borderId="0" xfId="188" applyNumberFormat="1" applyFont="1" applyFill="1"/>
    <xf numFmtId="10" fontId="115" fillId="32" borderId="5" xfId="0" applyNumberFormat="1" applyFont="1" applyFill="1" applyBorder="1" applyAlignment="1">
      <alignment horizontal="right"/>
    </xf>
    <xf numFmtId="10" fontId="112" fillId="32" borderId="5" xfId="0" applyNumberFormat="1" applyFont="1" applyFill="1" applyBorder="1" applyAlignment="1">
      <alignment horizontal="right"/>
    </xf>
    <xf numFmtId="204" fontId="108" fillId="32" borderId="32" xfId="0" applyNumberFormat="1" applyFont="1" applyFill="1" applyBorder="1" applyAlignment="1">
      <alignment horizontal="center"/>
    </xf>
    <xf numFmtId="7" fontId="112" fillId="32" borderId="1" xfId="0" applyNumberFormat="1" applyFont="1" applyFill="1" applyBorder="1" applyAlignment="1">
      <alignment horizontal="center"/>
    </xf>
    <xf numFmtId="0" fontId="110" fillId="32" borderId="81" xfId="0" applyFont="1" applyFill="1" applyBorder="1" applyAlignment="1">
      <alignment horizontal="left" vertical="center"/>
    </xf>
    <xf numFmtId="235" fontId="68" fillId="32" borderId="82" xfId="0" applyNumberFormat="1" applyFont="1" applyFill="1" applyBorder="1" applyAlignment="1">
      <alignment horizontal="right"/>
    </xf>
    <xf numFmtId="0" fontId="83" fillId="32" borderId="81" xfId="0" quotePrefix="1" applyFont="1" applyFill="1" applyBorder="1" applyAlignment="1">
      <alignment horizontal="left"/>
    </xf>
    <xf numFmtId="168" fontId="68" fillId="32" borderId="82" xfId="0" applyNumberFormat="1" applyFont="1" applyFill="1" applyBorder="1" applyAlignment="1">
      <alignment horizontal="right"/>
    </xf>
    <xf numFmtId="0" fontId="81" fillId="33" borderId="83" xfId="0" applyFont="1" applyFill="1" applyBorder="1" applyAlignment="1">
      <alignment vertical="center"/>
    </xf>
    <xf numFmtId="0" fontId="83" fillId="33" borderId="84" xfId="0" applyFont="1" applyFill="1" applyBorder="1" applyAlignment="1">
      <alignment vertical="center"/>
    </xf>
  </cellXfs>
  <cellStyles count="195">
    <cellStyle name="$" xfId="1" xr:uid="{00000000-0005-0000-0000-000000000000}"/>
    <cellStyle name="$m" xfId="2" xr:uid="{00000000-0005-0000-0000-000001000000}"/>
    <cellStyle name="$q" xfId="3" xr:uid="{00000000-0005-0000-0000-000002000000}"/>
    <cellStyle name="$q*" xfId="4" xr:uid="{00000000-0005-0000-0000-000003000000}"/>
    <cellStyle name="$q_valuation" xfId="5" xr:uid="{00000000-0005-0000-0000-000004000000}"/>
    <cellStyle name="$qA" xfId="6" xr:uid="{00000000-0005-0000-0000-000005000000}"/>
    <cellStyle name="$qRange" xfId="7" xr:uid="{00000000-0005-0000-0000-000006000000}"/>
    <cellStyle name="%" xfId="8" xr:uid="{00000000-0005-0000-0000-000007000000}"/>
    <cellStyle name="******************************************" xfId="9" xr:uid="{00000000-0005-0000-0000-000008000000}"/>
    <cellStyle name="2 Decimal Places_MA Software Comps - List_AccretionDilution OTGS v16.xls Chart 1" xfId="10" xr:uid="{00000000-0005-0000-0000-000009000000}"/>
    <cellStyle name="20% - Accent1 2" xfId="11" xr:uid="{00000000-0005-0000-0000-00000A000000}"/>
    <cellStyle name="20% - Accent2 2" xfId="12" xr:uid="{00000000-0005-0000-0000-00000B000000}"/>
    <cellStyle name="20% - Accent3 2" xfId="13" xr:uid="{00000000-0005-0000-0000-00000C000000}"/>
    <cellStyle name="20% - Accent4 2" xfId="14" xr:uid="{00000000-0005-0000-0000-00000D000000}"/>
    <cellStyle name="20% - Accent5 2" xfId="15" xr:uid="{00000000-0005-0000-0000-00000E000000}"/>
    <cellStyle name="20% - Accent6 2" xfId="16" xr:uid="{00000000-0005-0000-0000-00000F000000}"/>
    <cellStyle name="40% - Accent1 2" xfId="17" xr:uid="{00000000-0005-0000-0000-000010000000}"/>
    <cellStyle name="40% - Accent2 2" xfId="18" xr:uid="{00000000-0005-0000-0000-000011000000}"/>
    <cellStyle name="40% - Accent3 2" xfId="19" xr:uid="{00000000-0005-0000-0000-000012000000}"/>
    <cellStyle name="40% - Accent4 2" xfId="20" xr:uid="{00000000-0005-0000-0000-000013000000}"/>
    <cellStyle name="40% - Accent5 2" xfId="21" xr:uid="{00000000-0005-0000-0000-000014000000}"/>
    <cellStyle name="40% - Accent6 2" xfId="22" xr:uid="{00000000-0005-0000-0000-000015000000}"/>
    <cellStyle name="60% - Accent1 2" xfId="23" xr:uid="{00000000-0005-0000-0000-000016000000}"/>
    <cellStyle name="60% - Accent2 2" xfId="24" xr:uid="{00000000-0005-0000-0000-000017000000}"/>
    <cellStyle name="60% - Accent3 2" xfId="25" xr:uid="{00000000-0005-0000-0000-000018000000}"/>
    <cellStyle name="60% - Accent4 2" xfId="26" xr:uid="{00000000-0005-0000-0000-000019000000}"/>
    <cellStyle name="60% - Accent5 2" xfId="27" xr:uid="{00000000-0005-0000-0000-00001A000000}"/>
    <cellStyle name="60% - Accent6 2" xfId="28" xr:uid="{00000000-0005-0000-0000-00001B000000}"/>
    <cellStyle name="Accent1 2" xfId="29" xr:uid="{00000000-0005-0000-0000-00001C000000}"/>
    <cellStyle name="Accent2 2" xfId="30" xr:uid="{00000000-0005-0000-0000-00001D000000}"/>
    <cellStyle name="Accent3 2" xfId="31" xr:uid="{00000000-0005-0000-0000-00001E000000}"/>
    <cellStyle name="Accent4 2" xfId="32" xr:uid="{00000000-0005-0000-0000-00001F000000}"/>
    <cellStyle name="Accent5 2" xfId="33" xr:uid="{00000000-0005-0000-0000-000020000000}"/>
    <cellStyle name="Accent6 2" xfId="34" xr:uid="{00000000-0005-0000-0000-000021000000}"/>
    <cellStyle name="AFE" xfId="35" xr:uid="{00000000-0005-0000-0000-000022000000}"/>
    <cellStyle name="Bad 2" xfId="36" xr:uid="{00000000-0005-0000-0000-000023000000}"/>
    <cellStyle name="Balance" xfId="37" xr:uid="{00000000-0005-0000-0000-000024000000}"/>
    <cellStyle name="BalanceSheet" xfId="38" xr:uid="{00000000-0005-0000-0000-000025000000}"/>
    <cellStyle name="Body_$Numeric" xfId="39" xr:uid="{00000000-0005-0000-0000-000026000000}"/>
    <cellStyle name="Bold Header" xfId="40" xr:uid="{00000000-0005-0000-0000-000027000000}"/>
    <cellStyle name="Calculation 2" xfId="41" xr:uid="{00000000-0005-0000-0000-000028000000}"/>
    <cellStyle name="CashFlow" xfId="42" xr:uid="{00000000-0005-0000-0000-000029000000}"/>
    <cellStyle name="Check" xfId="43" xr:uid="{00000000-0005-0000-0000-00002A000000}"/>
    <cellStyle name="Check Cell 2" xfId="44" xr:uid="{00000000-0005-0000-0000-00002B000000}"/>
    <cellStyle name="ColHeading" xfId="45" xr:uid="{00000000-0005-0000-0000-00002C000000}"/>
    <cellStyle name="colheadleft" xfId="46" xr:uid="{00000000-0005-0000-0000-00002D000000}"/>
    <cellStyle name="colheadright" xfId="47" xr:uid="{00000000-0005-0000-0000-00002E000000}"/>
    <cellStyle name="Comma" xfId="187" builtinId="3"/>
    <cellStyle name="Comma 2" xfId="48" xr:uid="{00000000-0005-0000-0000-00002F000000}"/>
    <cellStyle name="Comma0" xfId="49" xr:uid="{00000000-0005-0000-0000-000030000000}"/>
    <cellStyle name="Comma2" xfId="50" xr:uid="{00000000-0005-0000-0000-000031000000}"/>
    <cellStyle name="Company" xfId="51" xr:uid="{00000000-0005-0000-0000-000032000000}"/>
    <cellStyle name="CurRatio" xfId="52" xr:uid="{00000000-0005-0000-0000-000033000000}"/>
    <cellStyle name="Currency" xfId="189" builtinId="4"/>
    <cellStyle name="Currency [1]" xfId="53" xr:uid="{00000000-0005-0000-0000-000034000000}"/>
    <cellStyle name="Currency [2]" xfId="54" xr:uid="{00000000-0005-0000-0000-000035000000}"/>
    <cellStyle name="Currency0" xfId="55" xr:uid="{00000000-0005-0000-0000-000036000000}"/>
    <cellStyle name="Currency2" xfId="56" xr:uid="{00000000-0005-0000-0000-000037000000}"/>
    <cellStyle name="d_yield" xfId="57" xr:uid="{00000000-0005-0000-0000-000038000000}"/>
    <cellStyle name="d_yield_CW's MAKER MODEL" xfId="58" xr:uid="{00000000-0005-0000-0000-000039000000}"/>
    <cellStyle name="d_yield_valuation" xfId="59" xr:uid="{00000000-0005-0000-0000-00003A000000}"/>
    <cellStyle name="Date [d-mmm-yy]" xfId="60" xr:uid="{00000000-0005-0000-0000-00003B000000}"/>
    <cellStyle name="Date [mmm-d-yyyy]" xfId="61" xr:uid="{00000000-0005-0000-0000-00003C000000}"/>
    <cellStyle name="Date [mmm-yyyy]" xfId="62" xr:uid="{00000000-0005-0000-0000-00003D000000}"/>
    <cellStyle name="Dates" xfId="63" xr:uid="{00000000-0005-0000-0000-00003E000000}"/>
    <cellStyle name="DateYear" xfId="64" xr:uid="{00000000-0005-0000-0000-00003F000000}"/>
    <cellStyle name="Dezimal_Capital expenditure planning FY 2000" xfId="65" xr:uid="{00000000-0005-0000-0000-000040000000}"/>
    <cellStyle name="Dollar" xfId="66" xr:uid="{00000000-0005-0000-0000-000041000000}"/>
    <cellStyle name="Dollars" xfId="67" xr:uid="{00000000-0005-0000-0000-000042000000}"/>
    <cellStyle name="DollarWhole" xfId="68" xr:uid="{00000000-0005-0000-0000-000043000000}"/>
    <cellStyle name="eps" xfId="69" xr:uid="{00000000-0005-0000-0000-000044000000}"/>
    <cellStyle name="eps$" xfId="70" xr:uid="{00000000-0005-0000-0000-000045000000}"/>
    <cellStyle name="eps$A" xfId="71" xr:uid="{00000000-0005-0000-0000-000046000000}"/>
    <cellStyle name="eps$E" xfId="72" xr:uid="{00000000-0005-0000-0000-000047000000}"/>
    <cellStyle name="eps_CW's MAKER MODEL" xfId="73" xr:uid="{00000000-0005-0000-0000-000048000000}"/>
    <cellStyle name="epsA" xfId="74" xr:uid="{00000000-0005-0000-0000-000049000000}"/>
    <cellStyle name="EPSActual" xfId="75" xr:uid="{00000000-0005-0000-0000-00004A000000}"/>
    <cellStyle name="epsE" xfId="76" xr:uid="{00000000-0005-0000-0000-00004B000000}"/>
    <cellStyle name="EPSEstimate" xfId="77" xr:uid="{00000000-0005-0000-0000-00004C000000}"/>
    <cellStyle name="Euro" xfId="78" xr:uid="{00000000-0005-0000-0000-00004D000000}"/>
    <cellStyle name="Explanatory Text 2" xfId="79" xr:uid="{00000000-0005-0000-0000-00004E000000}"/>
    <cellStyle name="fy_eps$" xfId="80" xr:uid="{00000000-0005-0000-0000-00004F000000}"/>
    <cellStyle name="g_rate" xfId="81" xr:uid="{00000000-0005-0000-0000-000050000000}"/>
    <cellStyle name="g_rate_CW's MAKER MODEL" xfId="82" xr:uid="{00000000-0005-0000-0000-000051000000}"/>
    <cellStyle name="g_rate_valuation" xfId="83" xr:uid="{00000000-0005-0000-0000-000052000000}"/>
    <cellStyle name="General" xfId="84" xr:uid="{00000000-0005-0000-0000-000053000000}"/>
    <cellStyle name="Good 2" xfId="85" xr:uid="{00000000-0005-0000-0000-000054000000}"/>
    <cellStyle name="GrowthRate" xfId="86" xr:uid="{00000000-0005-0000-0000-000055000000}"/>
    <cellStyle name="GrowthSeq" xfId="87" xr:uid="{00000000-0005-0000-0000-000056000000}"/>
    <cellStyle name="Hard Number Input" xfId="88" xr:uid="{00000000-0005-0000-0000-000057000000}"/>
    <cellStyle name="Heading 1 2" xfId="89" xr:uid="{00000000-0005-0000-0000-000058000000}"/>
    <cellStyle name="Heading 2 2" xfId="90" xr:uid="{00000000-0005-0000-0000-000059000000}"/>
    <cellStyle name="Heading 3 2" xfId="91" xr:uid="{00000000-0005-0000-0000-00005A000000}"/>
    <cellStyle name="Heading 4 2" xfId="92" xr:uid="{00000000-0005-0000-0000-00005B000000}"/>
    <cellStyle name="Historical Number" xfId="93" xr:uid="{00000000-0005-0000-0000-00005C000000}"/>
    <cellStyle name="Hyperlink" xfId="194" builtinId="8"/>
    <cellStyle name="iemens" xfId="94" xr:uid="{00000000-0005-0000-0000-00005D000000}"/>
    <cellStyle name="Income" xfId="95" xr:uid="{00000000-0005-0000-0000-00005E000000}"/>
    <cellStyle name="IncomeStatement" xfId="96" xr:uid="{00000000-0005-0000-0000-00005F000000}"/>
    <cellStyle name="Input 2" xfId="97" xr:uid="{00000000-0005-0000-0000-000060000000}"/>
    <cellStyle name="Input Fixed [0]" xfId="98" xr:uid="{00000000-0005-0000-0000-000061000000}"/>
    <cellStyle name="Integer" xfId="99" xr:uid="{00000000-0005-0000-0000-000062000000}"/>
    <cellStyle name="Inverse Header" xfId="100" xr:uid="{00000000-0005-0000-0000-000063000000}"/>
    <cellStyle name="Item" xfId="101" xr:uid="{00000000-0005-0000-0000-000064000000}"/>
    <cellStyle name="ItemTypeClass" xfId="102" xr:uid="{00000000-0005-0000-0000-000065000000}"/>
    <cellStyle name="Linked Cell 2" xfId="103" xr:uid="{00000000-0005-0000-0000-000066000000}"/>
    <cellStyle name="LTGR" xfId="104" xr:uid="{00000000-0005-0000-0000-000067000000}"/>
    <cellStyle name="m" xfId="105" xr:uid="{00000000-0005-0000-0000-000068000000}"/>
    <cellStyle name="m$" xfId="106" xr:uid="{00000000-0005-0000-0000-000069000000}"/>
    <cellStyle name="m_CW's MAKER MODEL" xfId="107" xr:uid="{00000000-0005-0000-0000-00006A000000}"/>
    <cellStyle name="m_valuation" xfId="108" xr:uid="{00000000-0005-0000-0000-00006B000000}"/>
    <cellStyle name="Margin" xfId="109" xr:uid="{00000000-0005-0000-0000-00006C000000}"/>
    <cellStyle name="Margins" xfId="110" xr:uid="{00000000-0005-0000-0000-00006D000000}"/>
    <cellStyle name="mm" xfId="111" xr:uid="{00000000-0005-0000-0000-00006E000000}"/>
    <cellStyle name="Multiple" xfId="112" xr:uid="{00000000-0005-0000-0000-00006F000000}"/>
    <cellStyle name="NA is zero" xfId="113" xr:uid="{00000000-0005-0000-0000-000070000000}"/>
    <cellStyle name="Neutral" xfId="193" builtinId="28"/>
    <cellStyle name="Neutral 2" xfId="114" xr:uid="{00000000-0005-0000-0000-000071000000}"/>
    <cellStyle name="Normal" xfId="0" builtinId="0"/>
    <cellStyle name="Normal [0]" xfId="115" xr:uid="{00000000-0005-0000-0000-000073000000}"/>
    <cellStyle name="Normal [1]" xfId="116" xr:uid="{00000000-0005-0000-0000-000074000000}"/>
    <cellStyle name="Normal [2]" xfId="117" xr:uid="{00000000-0005-0000-0000-000075000000}"/>
    <cellStyle name="Normal [3]" xfId="118" xr:uid="{00000000-0005-0000-0000-000076000000}"/>
    <cellStyle name="Normal 2" xfId="119" xr:uid="{00000000-0005-0000-0000-000077000000}"/>
    <cellStyle name="Normal Bold" xfId="120" xr:uid="{00000000-0005-0000-0000-000078000000}"/>
    <cellStyle name="Normal Pct" xfId="121" xr:uid="{00000000-0005-0000-0000-000079000000}"/>
    <cellStyle name="Normal_DCF_Model" xfId="190" xr:uid="{D7E3D5FF-55FA-4320-8426-54481807D3A2}"/>
    <cellStyle name="Normal_DrydenNewDCF3" xfId="192" xr:uid="{E56C36DE-9AF3-4562-8F51-08A141CB3336}"/>
    <cellStyle name="Normal_Matrix LBO Model v2 - Tri-State_05_EBITDA" xfId="186" xr:uid="{00000000-0005-0000-0000-00007A000000}"/>
    <cellStyle name="Normal_TrainingDCF1" xfId="191" xr:uid="{B313220E-BCBE-4E93-A4E8-E19832615825}"/>
    <cellStyle name="NormalX" xfId="122" xr:uid="{00000000-0005-0000-0000-00007B000000}"/>
    <cellStyle name="Note 2" xfId="123" xr:uid="{00000000-0005-0000-0000-00007C000000}"/>
    <cellStyle name="NPPESalesPct" xfId="124" xr:uid="{00000000-0005-0000-0000-00007D000000}"/>
    <cellStyle name="Number" xfId="125" xr:uid="{00000000-0005-0000-0000-00007E000000}"/>
    <cellStyle name="NWI%S" xfId="126" xr:uid="{00000000-0005-0000-0000-00007F000000}"/>
    <cellStyle name="Output 2" xfId="127" xr:uid="{00000000-0005-0000-0000-000080000000}"/>
    <cellStyle name="P/E" xfId="128" xr:uid="{00000000-0005-0000-0000-000081000000}"/>
    <cellStyle name="Palatino" xfId="129" xr:uid="{00000000-0005-0000-0000-000082000000}"/>
    <cellStyle name="pc1" xfId="130" xr:uid="{00000000-0005-0000-0000-000083000000}"/>
    <cellStyle name="pe" xfId="131" xr:uid="{00000000-0005-0000-0000-000084000000}"/>
    <cellStyle name="PE/LTGR" xfId="132" xr:uid="{00000000-0005-0000-0000-000085000000}"/>
    <cellStyle name="PEG" xfId="133" xr:uid="{00000000-0005-0000-0000-000086000000}"/>
    <cellStyle name="Percent" xfId="188" builtinId="5"/>
    <cellStyle name="Percent [0]" xfId="134" xr:uid="{00000000-0005-0000-0000-000087000000}"/>
    <cellStyle name="Percent [1]" xfId="135" xr:uid="{00000000-0005-0000-0000-000088000000}"/>
    <cellStyle name="Percent [2]" xfId="136" xr:uid="{00000000-0005-0000-0000-000089000000}"/>
    <cellStyle name="PercentChange" xfId="137" xr:uid="{00000000-0005-0000-0000-00008A000000}"/>
    <cellStyle name="PercentPresentation" xfId="138" xr:uid="{00000000-0005-0000-0000-00008B000000}"/>
    <cellStyle name="PerShare" xfId="139" xr:uid="{00000000-0005-0000-0000-00008C000000}"/>
    <cellStyle name="POPS" xfId="140" xr:uid="{00000000-0005-0000-0000-00008D000000}"/>
    <cellStyle name="Presentation" xfId="141" xr:uid="{00000000-0005-0000-0000-00008E000000}"/>
    <cellStyle name="PresentationZero" xfId="142" xr:uid="{00000000-0005-0000-0000-00008F000000}"/>
    <cellStyle name="price" xfId="143" xr:uid="{00000000-0005-0000-0000-000090000000}"/>
    <cellStyle name="q" xfId="144" xr:uid="{00000000-0005-0000-0000-000091000000}"/>
    <cellStyle name="q_CW's MAKER MODEL" xfId="145" xr:uid="{00000000-0005-0000-0000-000092000000}"/>
    <cellStyle name="QEPS-h" xfId="146" xr:uid="{00000000-0005-0000-0000-000093000000}"/>
    <cellStyle name="QEPS-H1" xfId="147" xr:uid="{00000000-0005-0000-0000-000094000000}"/>
    <cellStyle name="qRange" xfId="148" xr:uid="{00000000-0005-0000-0000-000095000000}"/>
    <cellStyle name="range" xfId="149" xr:uid="{00000000-0005-0000-0000-000096000000}"/>
    <cellStyle name="RatioX" xfId="150" xr:uid="{00000000-0005-0000-0000-000097000000}"/>
    <cellStyle name="Report" xfId="151" xr:uid="{00000000-0005-0000-0000-000098000000}"/>
    <cellStyle name="Right" xfId="152" xr:uid="{00000000-0005-0000-0000-000099000000}"/>
    <cellStyle name="SectionHeading" xfId="153" xr:uid="{00000000-0005-0000-0000-00009A000000}"/>
    <cellStyle name="Shares" xfId="154" xr:uid="{00000000-0005-0000-0000-00009B000000}"/>
    <cellStyle name="StockPrice" xfId="155" xr:uid="{00000000-0005-0000-0000-00009C000000}"/>
    <cellStyle name="Style 1" xfId="156" xr:uid="{00000000-0005-0000-0000-00009D000000}"/>
    <cellStyle name="Style 21" xfId="157" xr:uid="{00000000-0005-0000-0000-00009E000000}"/>
    <cellStyle name="Style 22" xfId="158" xr:uid="{00000000-0005-0000-0000-00009F000000}"/>
    <cellStyle name="Style 23" xfId="159" xr:uid="{00000000-0005-0000-0000-0000A0000000}"/>
    <cellStyle name="Style 24" xfId="160" xr:uid="{00000000-0005-0000-0000-0000A1000000}"/>
    <cellStyle name="Style 26" xfId="161" xr:uid="{00000000-0005-0000-0000-0000A2000000}"/>
    <cellStyle name="Style 27" xfId="162" xr:uid="{00000000-0005-0000-0000-0000A3000000}"/>
    <cellStyle name="Style 34" xfId="163" xr:uid="{00000000-0005-0000-0000-0000A4000000}"/>
    <cellStyle name="Style 37" xfId="164" xr:uid="{00000000-0005-0000-0000-0000A5000000}"/>
    <cellStyle name="Style 63" xfId="165" xr:uid="{00000000-0005-0000-0000-0000A6000000}"/>
    <cellStyle name="SubDollar" xfId="166" xr:uid="{00000000-0005-0000-0000-0000A7000000}"/>
    <cellStyle name="SubGrowth" xfId="167" xr:uid="{00000000-0005-0000-0000-0000A8000000}"/>
    <cellStyle name="SubGrowthRate" xfId="168" xr:uid="{00000000-0005-0000-0000-0000A9000000}"/>
    <cellStyle name="SubMargins" xfId="169" xr:uid="{00000000-0005-0000-0000-0000AA000000}"/>
    <cellStyle name="SubPenetration" xfId="170" xr:uid="{00000000-0005-0000-0000-0000AB000000}"/>
    <cellStyle name="Subscribers" xfId="171" xr:uid="{00000000-0005-0000-0000-0000AC000000}"/>
    <cellStyle name="SubVariable" xfId="172" xr:uid="{00000000-0005-0000-0000-0000AD000000}"/>
    <cellStyle name="tcn" xfId="173" xr:uid="{00000000-0005-0000-0000-0000AE000000}"/>
    <cellStyle name="Times [1]" xfId="174" xr:uid="{00000000-0005-0000-0000-0000AF000000}"/>
    <cellStyle name="Times [2]" xfId="175" xr:uid="{00000000-0005-0000-0000-0000B0000000}"/>
    <cellStyle name="Title 2" xfId="176" xr:uid="{00000000-0005-0000-0000-0000B1000000}"/>
    <cellStyle name="title2" xfId="177" xr:uid="{00000000-0005-0000-0000-0000B2000000}"/>
    <cellStyle name="TitleII" xfId="178" xr:uid="{00000000-0005-0000-0000-0000B3000000}"/>
    <cellStyle name="Titles" xfId="179" xr:uid="{00000000-0005-0000-0000-0000B4000000}"/>
    <cellStyle name="TitleSub" xfId="180" xr:uid="{00000000-0005-0000-0000-0000B5000000}"/>
    <cellStyle name="tn" xfId="181" xr:uid="{00000000-0005-0000-0000-0000B6000000}"/>
    <cellStyle name="Total 2" xfId="182" xr:uid="{00000000-0005-0000-0000-0000B7000000}"/>
    <cellStyle name="Warning Text 2" xfId="183" xr:uid="{00000000-0005-0000-0000-0000B8000000}"/>
    <cellStyle name="WholeNumber" xfId="184" xr:uid="{00000000-0005-0000-0000-0000B9000000}"/>
    <cellStyle name="Year&quot;E&quot;" xfId="185" xr:uid="{00000000-0005-0000-0000-0000BA000000}"/>
  </cellStyles>
  <dxfs count="0"/>
  <tableStyles count="0" defaultTableStyle="TableStyleMedium2" defaultPivotStyle="PivotStyleLight16"/>
  <colors>
    <mruColors>
      <color rgb="FF009B73"/>
      <color rgb="FF0000FF"/>
      <color rgb="FF5B77CC"/>
      <color rgb="FF002F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latin typeface="Arial" panose="020B0604020202020204" pitchFamily="34" charset="0"/>
                <a:cs typeface="Arial" panose="020B0604020202020204" pitchFamily="34" charset="0"/>
              </a:rPr>
              <a:t>Valuation Football Field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'Summary Outputs'!$M$46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Outputs'!$L$47:$L$51</c:f>
              <c:strCache>
                <c:ptCount val="5"/>
                <c:pt idx="0">
                  <c:v>DCF</c:v>
                </c:pt>
                <c:pt idx="1">
                  <c:v>Precedents</c:v>
                </c:pt>
                <c:pt idx="2">
                  <c:v>Comparables</c:v>
                </c:pt>
                <c:pt idx="3">
                  <c:v>LBO</c:v>
                </c:pt>
                <c:pt idx="4">
                  <c:v>52 Wk Range</c:v>
                </c:pt>
              </c:strCache>
            </c:strRef>
          </c:cat>
          <c:val>
            <c:numRef>
              <c:f>'Summary Outputs'!$M$47:$M$51</c:f>
              <c:numCache>
                <c:formatCode>"$"#,##0.00_);\("$"#,##0.00\)</c:formatCode>
                <c:ptCount val="5"/>
                <c:pt idx="0">
                  <c:v>54.894512747080306</c:v>
                </c:pt>
                <c:pt idx="1">
                  <c:v>100.73200782759284</c:v>
                </c:pt>
                <c:pt idx="2">
                  <c:v>77.949123013216166</c:v>
                </c:pt>
                <c:pt idx="3">
                  <c:v>41.902773738773334</c:v>
                </c:pt>
                <c:pt idx="4">
                  <c:v>38.46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5F-4BB1-8843-EBE5134C0983}"/>
            </c:ext>
          </c:extLst>
        </c:ser>
        <c:ser>
          <c:idx val="1"/>
          <c:order val="1"/>
          <c:tx>
            <c:strRef>
              <c:f>'Summary Outputs'!$N$46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rgbClr val="5B77CC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'Summary Outputs'!$L$47:$L$51</c:f>
              <c:strCache>
                <c:ptCount val="5"/>
                <c:pt idx="0">
                  <c:v>DCF</c:v>
                </c:pt>
                <c:pt idx="1">
                  <c:v>Precedents</c:v>
                </c:pt>
                <c:pt idx="2">
                  <c:v>Comparables</c:v>
                </c:pt>
                <c:pt idx="3">
                  <c:v>LBO</c:v>
                </c:pt>
                <c:pt idx="4">
                  <c:v>52 Wk Range</c:v>
                </c:pt>
              </c:strCache>
            </c:strRef>
          </c:cat>
          <c:val>
            <c:numRef>
              <c:f>'Summary Outputs'!$N$47:$N$51</c:f>
              <c:numCache>
                <c:formatCode>"$"#,##0.00_);\("$"#,##0.00\)</c:formatCode>
                <c:ptCount val="5"/>
                <c:pt idx="0">
                  <c:v>11.166026079773353</c:v>
                </c:pt>
                <c:pt idx="1">
                  <c:v>14.88763043362485</c:v>
                </c:pt>
                <c:pt idx="2">
                  <c:v>12.0637855559321</c:v>
                </c:pt>
                <c:pt idx="3">
                  <c:v>11.41484527879976</c:v>
                </c:pt>
                <c:pt idx="4">
                  <c:v>41.04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5F-4BB1-8843-EBE5134C0983}"/>
            </c:ext>
          </c:extLst>
        </c:ser>
        <c:ser>
          <c:idx val="2"/>
          <c:order val="2"/>
          <c:tx>
            <c:strRef>
              <c:f>'Summary Outputs'!$O$46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Outputs'!$L$47:$L$51</c:f>
              <c:strCache>
                <c:ptCount val="5"/>
                <c:pt idx="0">
                  <c:v>DCF</c:v>
                </c:pt>
                <c:pt idx="1">
                  <c:v>Precedents</c:v>
                </c:pt>
                <c:pt idx="2">
                  <c:v>Comparables</c:v>
                </c:pt>
                <c:pt idx="3">
                  <c:v>LBO</c:v>
                </c:pt>
                <c:pt idx="4">
                  <c:v>52 Wk Range</c:v>
                </c:pt>
              </c:strCache>
            </c:strRef>
          </c:cat>
          <c:val>
            <c:numRef>
              <c:f>'Summary Outputs'!$O$47:$O$51</c:f>
              <c:numCache>
                <c:formatCode>"$"#,##0.00_);\("$"#,##0.00\)</c:formatCode>
                <c:ptCount val="5"/>
                <c:pt idx="0">
                  <c:v>66.060538826853659</c:v>
                </c:pt>
                <c:pt idx="1">
                  <c:v>115.61963826121769</c:v>
                </c:pt>
                <c:pt idx="2">
                  <c:v>90.012908569148266</c:v>
                </c:pt>
                <c:pt idx="3">
                  <c:v>53.317619017573094</c:v>
                </c:pt>
                <c:pt idx="4">
                  <c:v>79.5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5F-4BB1-8843-EBE5134C098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15228352"/>
        <c:axId val="615222232"/>
      </c:barChart>
      <c:catAx>
        <c:axId val="61522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5222232"/>
        <c:crosses val="autoZero"/>
        <c:auto val="1"/>
        <c:lblAlgn val="ctr"/>
        <c:lblOffset val="100"/>
        <c:noMultiLvlLbl val="0"/>
      </c:catAx>
      <c:valAx>
        <c:axId val="615222232"/>
        <c:scaling>
          <c:orientation val="minMax"/>
          <c:max val="125"/>
          <c:min val="0"/>
        </c:scaling>
        <c:delete val="0"/>
        <c:axPos val="l"/>
        <c:numFmt formatCode="&quot;$&quot;#,##0.00_);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522835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latin typeface="Arial" panose="020B0604020202020204" pitchFamily="34" charset="0"/>
                <a:cs typeface="Arial" panose="020B0604020202020204" pitchFamily="34" charset="0"/>
              </a:rPr>
              <a:t>DCF Equity Valuation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DCF!$D$165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DCF!$B$166:$B$168</c:f>
              <c:strCache>
                <c:ptCount val="3"/>
                <c:pt idx="0">
                  <c:v>DCF Value at 6.0x-8.0x Exit EBITDA Range at 9.2% WACC</c:v>
                </c:pt>
                <c:pt idx="1">
                  <c:v>DCF Value at -0.5%-1.5% Perpetuity Range at 9.2% WACC</c:v>
                </c:pt>
                <c:pt idx="2">
                  <c:v>52 Week Market High/Low</c:v>
                </c:pt>
              </c:strCache>
            </c:strRef>
          </c:cat>
          <c:val>
            <c:numRef>
              <c:f>DCF!$D$166:$D$168</c:f>
              <c:numCache>
                <c:formatCode>"$"#,##0.00_);\("$"#,##0.00\)</c:formatCode>
                <c:ptCount val="3"/>
                <c:pt idx="0">
                  <c:v>54.894512747080306</c:v>
                </c:pt>
                <c:pt idx="1">
                  <c:v>53.116001996831748</c:v>
                </c:pt>
                <c:pt idx="2">
                  <c:v>38.46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C0-4965-BF94-E699EE632F83}"/>
            </c:ext>
          </c:extLst>
        </c:ser>
        <c:ser>
          <c:idx val="1"/>
          <c:order val="1"/>
          <c:tx>
            <c:strRef>
              <c:f>DCF!$E$165</c:f>
              <c:strCache>
                <c:ptCount val="1"/>
                <c:pt idx="0">
                  <c:v>Diff.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DCF!$B$166:$B$168</c:f>
              <c:strCache>
                <c:ptCount val="3"/>
                <c:pt idx="0">
                  <c:v>DCF Value at 6.0x-8.0x Exit EBITDA Range at 9.2% WACC</c:v>
                </c:pt>
                <c:pt idx="1">
                  <c:v>DCF Value at -0.5%-1.5% Perpetuity Range at 9.2% WACC</c:v>
                </c:pt>
                <c:pt idx="2">
                  <c:v>52 Week Market High/Low</c:v>
                </c:pt>
              </c:strCache>
            </c:strRef>
          </c:cat>
          <c:val>
            <c:numRef>
              <c:f>DCF!$E$166:$E$168</c:f>
              <c:numCache>
                <c:formatCode>"$"#,##0.00_);\("$"#,##0.00\)</c:formatCode>
                <c:ptCount val="3"/>
                <c:pt idx="0">
                  <c:v>11.166026079773353</c:v>
                </c:pt>
                <c:pt idx="1">
                  <c:v>10.716847863951749</c:v>
                </c:pt>
                <c:pt idx="2">
                  <c:v>41.04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C0-4965-BF94-E699EE632F83}"/>
            </c:ext>
          </c:extLst>
        </c:ser>
        <c:ser>
          <c:idx val="2"/>
          <c:order val="2"/>
          <c:tx>
            <c:strRef>
              <c:f>DCF!$F$165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DCF!$B$166:$B$168</c:f>
              <c:strCache>
                <c:ptCount val="3"/>
                <c:pt idx="0">
                  <c:v>DCF Value at 6.0x-8.0x Exit EBITDA Range at 9.2% WACC</c:v>
                </c:pt>
                <c:pt idx="1">
                  <c:v>DCF Value at -0.5%-1.5% Perpetuity Range at 9.2% WACC</c:v>
                </c:pt>
                <c:pt idx="2">
                  <c:v>52 Week Market High/Low</c:v>
                </c:pt>
              </c:strCache>
            </c:strRef>
          </c:cat>
          <c:val>
            <c:numRef>
              <c:f>DCF!$F$166:$F$168</c:f>
              <c:numCache>
                <c:formatCode>"$"#,##0.00_);\("$"#,##0.00\)</c:formatCode>
                <c:ptCount val="3"/>
                <c:pt idx="0">
                  <c:v>66.060538826853659</c:v>
                </c:pt>
                <c:pt idx="1">
                  <c:v>63.832849860783497</c:v>
                </c:pt>
                <c:pt idx="2">
                  <c:v>79.5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C0-4965-BF94-E699EE632F8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01424680"/>
        <c:axId val="1001425760"/>
      </c:barChart>
      <c:catAx>
        <c:axId val="1001424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01425760"/>
        <c:crosses val="autoZero"/>
        <c:auto val="1"/>
        <c:lblAlgn val="ctr"/>
        <c:lblOffset val="100"/>
        <c:noMultiLvlLbl val="0"/>
      </c:catAx>
      <c:valAx>
        <c:axId val="1001425760"/>
        <c:scaling>
          <c:orientation val="minMax"/>
          <c:max val="100"/>
        </c:scaling>
        <c:delete val="0"/>
        <c:axPos val="l"/>
        <c:numFmt formatCode="&quot;$&quot;#,##0.00_);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01424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LBO Equity Value Creation Waterfall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cs typeface="Arial" panose="020B0604020202020204" pitchFamily="34" charset="0"/>
            </a:rPr>
            <a:t>LBO Equity Value Creation Waterfall</a:t>
          </a:r>
        </a:p>
      </cx:txPr>
    </cx:title>
    <cx:plotArea>
      <cx:plotAreaRegion>
        <cx:series layoutId="waterfall" uniqueId="{00000005-886F-4E5E-AC35-1F8ED505A5E3}">
          <cx:tx>
            <cx:txData>
              <cx:f>_xlchart.v1.1</cx:f>
              <cx:v>$mm</cx:v>
            </cx:txData>
          </cx:tx>
          <cx:spPr>
            <a:solidFill>
              <a:srgbClr val="5B77CC"/>
            </a:solidFill>
          </cx:spPr>
          <cx:dataPt idx="0">
            <cx:spPr>
              <a:solidFill>
                <a:srgbClr val="002F6C"/>
              </a:solidFill>
            </cx:spPr>
          </cx:dataPt>
          <cx:dataPt idx="5">
            <cx:spPr>
              <a:solidFill>
                <a:srgbClr val="002F6C"/>
              </a:solidFill>
            </cx:spPr>
          </cx:dataPt>
          <cx:dataLabels>
            <cx:visibility seriesName="0" categoryName="0" value="1"/>
          </cx:dataLabels>
          <cx:dataId val="0"/>
          <cx:layoutPr>
            <cx:visibility connectorLines="0"/>
            <cx:subtotals>
              <cx:idx val="0"/>
              <cx:idx val="5"/>
            </cx:subtotals>
          </cx:layoutPr>
        </cx:series>
      </cx:plotAreaRegion>
      <cx:axis id="0">
        <cx:catScaling gapWidth="0.200000003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800"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8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800"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8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6" fmlaLink="$C$6" fmlaRange="$B$10:$B$12" noThreeD="1" sel="2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220979</xdr:colOff>
      <xdr:row>68</xdr:row>
      <xdr:rowOff>23910</xdr:rowOff>
    </xdr:from>
    <xdr:to>
      <xdr:col>12</xdr:col>
      <xdr:colOff>663701</xdr:colOff>
      <xdr:row>82</xdr:row>
      <xdr:rowOff>78012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7">
              <a:extLst>
                <a:ext uri="{FF2B5EF4-FFF2-40B4-BE49-F238E27FC236}">
                  <a16:creationId xmlns:a16="http://schemas.microsoft.com/office/drawing/2014/main" id="{2D9A7459-3020-D9C3-158C-6DCD164875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8739" y="12124470"/>
              <a:ext cx="5982462" cy="25077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225703</xdr:colOff>
      <xdr:row>53</xdr:row>
      <xdr:rowOff>19050</xdr:rowOff>
    </xdr:from>
    <xdr:to>
      <xdr:col>12</xdr:col>
      <xdr:colOff>671801</xdr:colOff>
      <xdr:row>67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3A1334-D2E7-E1C2-282E-27E4790D07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1325880</xdr:colOff>
      <xdr:row>5</xdr:row>
      <xdr:rowOff>0</xdr:rowOff>
    </xdr:from>
    <xdr:to>
      <xdr:col>2</xdr:col>
      <xdr:colOff>575310</xdr:colOff>
      <xdr:row>6</xdr:row>
      <xdr:rowOff>41910</xdr:rowOff>
    </xdr:to>
    <xdr:sp macro="" textlink="">
      <xdr:nvSpPr>
        <xdr:cNvPr id="53253" name="Drop Down 5" hidden="1">
          <a:extLst>
            <a:ext uri="{63B3BB69-23CF-44E3-9099-C40C66FF867C}">
              <a14:compatExt xmlns:a14="http://schemas.microsoft.com/office/drawing/2010/main" spid="_x0000_s53253"/>
            </a:ext>
            <a:ext uri="{FF2B5EF4-FFF2-40B4-BE49-F238E27FC236}">
              <a16:creationId xmlns:a16="http://schemas.microsoft.com/office/drawing/2014/main" id="{00000000-0008-0000-0400-000005D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1295400</xdr:colOff>
          <xdr:row>4</xdr:row>
          <xdr:rowOff>175260</xdr:rowOff>
        </xdr:from>
        <xdr:to>
          <xdr:col>3</xdr:col>
          <xdr:colOff>190500</xdr:colOff>
          <xdr:row>6</xdr:row>
          <xdr:rowOff>0</xdr:rowOff>
        </xdr:to>
        <xdr:sp macro="" textlink="">
          <xdr:nvSpPr>
            <xdr:cNvPr id="53250" name="Drop Down 2" hidden="1">
              <a:extLst>
                <a:ext uri="{63B3BB69-23CF-44E3-9099-C40C66FF867C}">
                  <a14:compatExt spid="_x0000_s53250"/>
                </a:ext>
                <a:ext uri="{FF2B5EF4-FFF2-40B4-BE49-F238E27FC236}">
                  <a16:creationId xmlns:a16="http://schemas.microsoft.com/office/drawing/2014/main" id="{00000000-0008-0000-0300-000002D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1804035</xdr:colOff>
      <xdr:row>146</xdr:row>
      <xdr:rowOff>165735</xdr:rowOff>
    </xdr:from>
    <xdr:to>
      <xdr:col>6</xdr:col>
      <xdr:colOff>259080</xdr:colOff>
      <xdr:row>162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B131FF-A930-7845-6A47-17B6743FE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812A35D-D16D-4845-8EC5-DD499CEF8C2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6f51d37-e4e2-44fb-be32-2751982baae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ift4.com/news/shift4-completes-acquisition-of-global-blue" TargetMode="External"/><Relationship Id="rId13" Type="http://schemas.openxmlformats.org/officeDocument/2006/relationships/hyperlink" Target="https://www.sec.gov/Archives/edgar/data/0001123360/000119312522207780/d252042dex991.htm" TargetMode="External"/><Relationship Id="rId18" Type="http://schemas.openxmlformats.org/officeDocument/2006/relationships/hyperlink" Target="https://investors.block.xyz/investor-news/news-details/2022/Block-Inc.-Completes-Acquisition-of-Afterpay/default.aspx" TargetMode="External"/><Relationship Id="rId26" Type="http://schemas.openxmlformats.org/officeDocument/2006/relationships/hyperlink" Target="https://www.sec.gov/Archives/edgar/data/0001633917/000163391726000024/pypl-20251231.htm" TargetMode="External"/><Relationship Id="rId3" Type="http://schemas.openxmlformats.org/officeDocument/2006/relationships/hyperlink" Target="https://www.globalpayments.com/worldpay" TargetMode="External"/><Relationship Id="rId21" Type="http://schemas.openxmlformats.org/officeDocument/2006/relationships/hyperlink" Target="https://www.sec.gov/Archives/edgar/data/0000883980/000088398019000009/" TargetMode="External"/><Relationship Id="rId7" Type="http://schemas.openxmlformats.org/officeDocument/2006/relationships/hyperlink" Target="https://www.globalblue.com/en/about-us/media/fy24-25-financial-results" TargetMode="External"/><Relationship Id="rId12" Type="http://schemas.openxmlformats.org/officeDocument/2006/relationships/hyperlink" Target="https://www.sec.gov/Archives/edgar/data/0001765159/000095010324016364/dp220747_ex9902.htm" TargetMode="External"/><Relationship Id="rId17" Type="http://schemas.openxmlformats.org/officeDocument/2006/relationships/hyperlink" Target="https://block.xyz/inside/square-announces-plans-to-acquire-afterpay" TargetMode="External"/><Relationship Id="rId25" Type="http://schemas.openxmlformats.org/officeDocument/2006/relationships/hyperlink" Target="https://fortune.com/2019/11/21/paypal-honey-acquisition-worth-4-billion/" TargetMode="External"/><Relationship Id="rId2" Type="http://schemas.openxmlformats.org/officeDocument/2006/relationships/hyperlink" Target="https://www.sec.gov/Archives/edgar/data/0001123360/000110465925035771/tm2512552d1_ex99-1.htm" TargetMode="External"/><Relationship Id="rId16" Type="http://schemas.openxmlformats.org/officeDocument/2006/relationships/hyperlink" Target="https://www.sec.gov/Archives/edgar/data/0001512673/000119312521232215/d186862dex992.htm" TargetMode="External"/><Relationship Id="rId20" Type="http://schemas.openxmlformats.org/officeDocument/2006/relationships/hyperlink" Target="https://www.sec.gov/Archives/edgar/data/0000798354/000119312519010304/d660232dex992.htm" TargetMode="External"/><Relationship Id="rId1" Type="http://schemas.openxmlformats.org/officeDocument/2006/relationships/hyperlink" Target="https://investors.globalpayments.com/news-events/press-releases/detail/469/global-payments-announces-agreements-to-acquire-worldpay" TargetMode="External"/><Relationship Id="rId6" Type="http://schemas.openxmlformats.org/officeDocument/2006/relationships/hyperlink" Target="https://www.sec.gov/Archives/edgar/data/0001799983/000162828025006033/gbpressreleaseacquisitio.htm" TargetMode="External"/><Relationship Id="rId11" Type="http://schemas.openxmlformats.org/officeDocument/2006/relationships/hyperlink" Target="https://www.sec.gov/Archives/edgar/data/0001765159/000176515924000006/a2023_q4xpressrelease.htm" TargetMode="External"/><Relationship Id="rId24" Type="http://schemas.openxmlformats.org/officeDocument/2006/relationships/hyperlink" Target="https://techcrunch.com/2019/11/20/paypal-to-acquire-shopping-and-rewards-platform-honey-for-4-billion/" TargetMode="External"/><Relationship Id="rId5" Type="http://schemas.openxmlformats.org/officeDocument/2006/relationships/hyperlink" Target="https://investors.shift4.com/news-events/press-releases/detail/246/shift4-to-acquire-global-blue-the-leading-specialty-payments-and-technology-provider-serving-luxury-brands" TargetMode="External"/><Relationship Id="rId15" Type="http://schemas.openxmlformats.org/officeDocument/2006/relationships/hyperlink" Target="https://investor.evopayments.com/investors/news-and-events/press-release/press-release-details/2022/EVO-Reports-Fourth-Quarter-and-Full-Year-2021-Results/default.aspx" TargetMode="External"/><Relationship Id="rId23" Type="http://schemas.openxmlformats.org/officeDocument/2006/relationships/hyperlink" Target="https://newsroom.paypal-corp.com/2019-11-20-PayPal-to-Acquire-Honey" TargetMode="External"/><Relationship Id="rId10" Type="http://schemas.openxmlformats.org/officeDocument/2006/relationships/hyperlink" Target="https://www.adventinternational.com/news/nuvei-enters-into-agreement-to-be-taken-private-by-advent-international-alongside-existing-canadian-shareholders-philip-fayer-novacap-and-cdpq-at-a-price-of-us34-00-per-share/" TargetMode="External"/><Relationship Id="rId19" Type="http://schemas.openxmlformats.org/officeDocument/2006/relationships/hyperlink" Target="https://www.sec.gov/Archives/edgar/data/798354/000119312519010301/d680169dex992.htm" TargetMode="External"/><Relationship Id="rId4" Type="http://schemas.openxmlformats.org/officeDocument/2006/relationships/hyperlink" Target="https://www.fisglobal.com/about-us/media-room/press-release/2024/fis-reports-strong-first-quarter-2024-results-and-increases-full-year-adjusted-eps-outlook" TargetMode="External"/><Relationship Id="rId9" Type="http://schemas.openxmlformats.org/officeDocument/2006/relationships/hyperlink" Target="https://www.sec.gov/Archives/edgar/data/0001765159/000095010324004743/dp209291_ex9901.htm" TargetMode="External"/><Relationship Id="rId14" Type="http://schemas.openxmlformats.org/officeDocument/2006/relationships/hyperlink" Target="https://www.businesswire.com/news/home/20220801005256/en/EVO-Reports-Second-Quarter-2022-Results" TargetMode="External"/><Relationship Id="rId22" Type="http://schemas.openxmlformats.org/officeDocument/2006/relationships/hyperlink" Target="https://www.businesswire.com/news/home/20190206005318/en/Data-Reports-Fourth-Quarter-Full-Year-2018" TargetMode="External"/><Relationship Id="rId27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425A4-5B9F-4D27-955E-0F8D6FE45205}">
  <sheetPr>
    <pageSetUpPr fitToPage="1"/>
  </sheetPr>
  <dimension ref="A1:K59"/>
  <sheetViews>
    <sheetView tabSelected="1" topLeftCell="A2" zoomScaleNormal="100" workbookViewId="0">
      <selection activeCell="A3" sqref="A3"/>
    </sheetView>
  </sheetViews>
  <sheetFormatPr defaultColWidth="9.109375" defaultRowHeight="13.8"/>
  <cols>
    <col min="1" max="1" width="2" style="72" customWidth="1"/>
    <col min="2" max="2" width="42.5546875" style="72" customWidth="1"/>
    <col min="3" max="4" width="13.33203125" style="72" customWidth="1"/>
    <col min="5" max="5" width="9.109375" style="72"/>
    <col min="6" max="6" width="17.6640625" style="72" customWidth="1"/>
    <col min="7" max="7" width="14.88671875" style="72" customWidth="1"/>
    <col min="8" max="16384" width="9.109375" style="72"/>
  </cols>
  <sheetData>
    <row r="1" spans="1:11" ht="14.4" thickBot="1">
      <c r="A1" s="563"/>
      <c r="B1" s="563"/>
      <c r="C1" s="563"/>
      <c r="D1" s="563"/>
      <c r="E1" s="563"/>
      <c r="F1" s="563"/>
      <c r="G1" s="563"/>
      <c r="H1" s="563"/>
      <c r="I1" s="563"/>
      <c r="J1" s="563"/>
      <c r="K1" s="563"/>
    </row>
    <row r="4" spans="1:11">
      <c r="G4" s="564"/>
    </row>
    <row r="7" spans="1:11" ht="45">
      <c r="B7" s="620" t="s">
        <v>87</v>
      </c>
      <c r="G7" s="177"/>
    </row>
    <row r="8" spans="1:11">
      <c r="B8" s="73"/>
      <c r="G8" s="565"/>
    </row>
    <row r="9" spans="1:11">
      <c r="B9" s="72" t="s">
        <v>88</v>
      </c>
      <c r="G9" s="178"/>
    </row>
    <row r="10" spans="1:11">
      <c r="G10" s="565"/>
    </row>
    <row r="11" spans="1:11">
      <c r="B11" s="196">
        <f ca="1">TODAY()</f>
        <v>46208</v>
      </c>
    </row>
    <row r="13" spans="1:11">
      <c r="B13" s="566" t="s">
        <v>89</v>
      </c>
    </row>
    <row r="14" spans="1:11">
      <c r="B14" s="567"/>
      <c r="C14" s="567"/>
      <c r="D14" s="567"/>
      <c r="E14" s="567"/>
      <c r="F14" s="567"/>
      <c r="G14" s="567"/>
    </row>
    <row r="15" spans="1:11">
      <c r="B15" s="568" t="s">
        <v>570</v>
      </c>
      <c r="C15" s="569"/>
      <c r="D15" s="569"/>
      <c r="E15" s="567"/>
      <c r="F15" s="568" t="s">
        <v>599</v>
      </c>
      <c r="G15" s="567"/>
    </row>
    <row r="16" spans="1:11">
      <c r="B16" s="760"/>
      <c r="C16" s="761"/>
      <c r="D16" s="763"/>
      <c r="E16" s="569"/>
      <c r="F16" s="760"/>
      <c r="G16" s="761"/>
      <c r="H16" s="761"/>
      <c r="I16" s="761"/>
      <c r="J16" s="761"/>
      <c r="K16" s="763"/>
    </row>
    <row r="17" spans="2:11" ht="6" customHeight="1">
      <c r="B17" s="758"/>
      <c r="C17" s="752"/>
      <c r="D17" s="764"/>
      <c r="E17" s="570"/>
      <c r="F17" s="758"/>
      <c r="G17" s="751"/>
      <c r="H17" s="751"/>
      <c r="I17" s="751"/>
      <c r="J17" s="752"/>
      <c r="K17" s="764"/>
    </row>
    <row r="18" spans="2:11">
      <c r="B18" s="721" t="s">
        <v>571</v>
      </c>
      <c r="C18" s="749" t="s">
        <v>550</v>
      </c>
      <c r="D18" s="750" t="s">
        <v>54</v>
      </c>
      <c r="E18" s="55"/>
      <c r="F18" s="721" t="s">
        <v>565</v>
      </c>
      <c r="G18" s="121"/>
      <c r="H18" s="121"/>
      <c r="I18" s="121"/>
      <c r="J18" s="749" t="s">
        <v>426</v>
      </c>
      <c r="K18" s="750" t="s">
        <v>428</v>
      </c>
    </row>
    <row r="19" spans="2:11" s="55" customFormat="1">
      <c r="B19" s="708" t="s">
        <v>572</v>
      </c>
      <c r="C19" s="701">
        <v>4.38</v>
      </c>
      <c r="D19" s="702">
        <v>0.34300000000000003</v>
      </c>
      <c r="F19" s="708" t="s">
        <v>566</v>
      </c>
      <c r="G19" s="698"/>
      <c r="H19" s="698"/>
      <c r="I19" s="698"/>
      <c r="J19" s="714">
        <f>'Summary Outputs'!M47</f>
        <v>54.894512747080306</v>
      </c>
      <c r="K19" s="716">
        <f>'Summary Outputs'!O47</f>
        <v>66.060538826853659</v>
      </c>
    </row>
    <row r="20" spans="2:11">
      <c r="B20" s="709" t="s">
        <v>193</v>
      </c>
      <c r="C20" s="703">
        <v>2.48</v>
      </c>
      <c r="D20" s="704">
        <v>0.19900000000000001</v>
      </c>
      <c r="E20" s="55"/>
      <c r="F20" s="708" t="s">
        <v>459</v>
      </c>
      <c r="G20" s="698"/>
      <c r="H20" s="699"/>
      <c r="I20" s="699"/>
      <c r="J20" s="714">
        <f>'Summary Outputs'!M48</f>
        <v>100.73200782759284</v>
      </c>
      <c r="K20" s="716">
        <f>'Summary Outputs'!O48</f>
        <v>115.61963826121769</v>
      </c>
    </row>
    <row r="21" spans="2:11">
      <c r="B21" s="708" t="s">
        <v>573</v>
      </c>
      <c r="C21" s="701">
        <v>0.97</v>
      </c>
      <c r="D21" s="702">
        <v>-5.0000000000000001E-3</v>
      </c>
      <c r="E21" s="55"/>
      <c r="F21" s="708" t="s">
        <v>600</v>
      </c>
      <c r="G21" s="698"/>
      <c r="H21" s="698"/>
      <c r="I21" s="698"/>
      <c r="J21" s="714">
        <f>'Summary Outputs'!M49</f>
        <v>77.949123013216166</v>
      </c>
      <c r="K21" s="716">
        <f>'Summary Outputs'!O49</f>
        <v>90.012908569148266</v>
      </c>
    </row>
    <row r="22" spans="2:11">
      <c r="B22" s="710" t="str">
        <f ca="1">"Currently running: ("&amp;CHOOSE(Scenarios!$C$6,Scenarios!$B$10,Scenarios!$B$11,Scenarios!$B$12)&amp;"): MOIC "&amp;TEXT('LBO Returns'!$D$16,"0.00x")&amp;", IRR "&amp;TEXT('LBO Returns'!$E$16,"0.0%")</f>
        <v>Currently running: (Base Case): MOIC 2.48x, IRR 19.9%</v>
      </c>
      <c r="D22" s="705"/>
      <c r="E22" s="55"/>
      <c r="F22" s="722" t="s">
        <v>602</v>
      </c>
      <c r="G22" s="700"/>
      <c r="H22" s="700"/>
      <c r="I22" s="700"/>
      <c r="J22" s="723">
        <f ca="1">'Summary Outputs'!M50</f>
        <v>41.902773738773334</v>
      </c>
      <c r="K22" s="724">
        <f ca="1">'Summary Outputs'!O50</f>
        <v>53.317619017573094</v>
      </c>
    </row>
    <row r="23" spans="2:11">
      <c r="B23" s="711"/>
      <c r="D23" s="705"/>
      <c r="E23" s="55"/>
      <c r="F23" s="710" t="str">
        <f ca="1">"Currently running: ("&amp;CHOOSE(Scenarios!$C$6,Scenarios!$B$10,Scenarios!$B$11,Scenarios!$B$12)&amp;"): MOIC "&amp;TEXT('LBO Returns'!$D$16,"0.00x")&amp;", IRR "&amp;TEXT('LBO Returns'!$E$16,"0.0%")</f>
        <v>Currently running: (Base Case): MOIC 2.48x, IRR 19.9%</v>
      </c>
      <c r="G23" s="719"/>
      <c r="H23" s="55"/>
      <c r="K23" s="705"/>
    </row>
    <row r="24" spans="2:11">
      <c r="B24" s="712" t="s">
        <v>574</v>
      </c>
      <c r="C24" s="706"/>
      <c r="D24" s="705"/>
      <c r="E24" s="55"/>
      <c r="F24" s="710" t="str">
        <f ca="1">"Max sponsor bid for 15% IRR: "&amp;TEXT(K22,"$0.00")</f>
        <v>Max sponsor bid for 15% IRR: $53.32</v>
      </c>
      <c r="G24" s="55"/>
      <c r="H24" s="55"/>
      <c r="K24" s="705"/>
    </row>
    <row r="25" spans="2:11">
      <c r="B25" s="710" t="str">
        <f ca="1">IF('LBO Returns'!$E$16&gt;0.149,"Clears sponsor return hurdle","Below sponsor return hurdle")</f>
        <v>Clears sponsor return hurdle</v>
      </c>
      <c r="D25" s="705"/>
      <c r="E25" s="55"/>
      <c r="F25" s="710" t="str">
        <f ca="1">"Max LBO price premium compared to current market: "&amp;TEXT((K22/Assumptions!N7)-1,"0.0%")</f>
        <v>Max LBO price premium compared to current market: 17.3%</v>
      </c>
      <c r="G25" s="55"/>
      <c r="H25" s="55"/>
      <c r="K25" s="705"/>
    </row>
    <row r="26" spans="2:11">
      <c r="B26" s="710" t="str">
        <f ca="1">IF(Cover!K22&lt;MIN(Cover!J19,Cover!J20,Cover!J21),"Market premium below threshold","Market premium clears threshold")</f>
        <v>Market premium below threshold</v>
      </c>
      <c r="D26" s="705"/>
      <c r="E26" s="55"/>
      <c r="F26" s="715"/>
      <c r="G26" s="55"/>
      <c r="H26" s="55"/>
      <c r="K26" s="705"/>
    </row>
    <row r="27" spans="2:11">
      <c r="B27" s="713"/>
      <c r="C27" s="706"/>
      <c r="D27" s="707"/>
      <c r="E27" s="55"/>
      <c r="F27" s="717"/>
      <c r="G27" s="63"/>
      <c r="H27" s="63"/>
      <c r="I27" s="706"/>
      <c r="J27" s="706"/>
      <c r="K27" s="707"/>
    </row>
    <row r="28" spans="2:11">
      <c r="B28" s="718"/>
      <c r="E28" s="55"/>
      <c r="F28" s="55"/>
      <c r="G28" s="55"/>
      <c r="H28" s="55"/>
    </row>
    <row r="29" spans="2:11">
      <c r="B29" s="718"/>
      <c r="E29" s="55"/>
      <c r="F29" s="55"/>
      <c r="G29" s="55"/>
    </row>
    <row r="30" spans="2:11">
      <c r="B30" s="718"/>
      <c r="E30" s="55"/>
      <c r="F30" s="55"/>
      <c r="G30" s="55"/>
    </row>
    <row r="31" spans="2:11">
      <c r="B31" s="718"/>
      <c r="E31" s="55"/>
      <c r="F31" s="55"/>
      <c r="G31" s="55"/>
    </row>
    <row r="33" spans="1:11" ht="14.4" thickBot="1">
      <c r="A33" s="563"/>
      <c r="B33" s="563"/>
      <c r="C33" s="563"/>
      <c r="D33" s="563"/>
      <c r="E33" s="563"/>
      <c r="F33" s="563"/>
      <c r="G33" s="563"/>
      <c r="H33" s="563"/>
      <c r="I33" s="563"/>
      <c r="J33" s="563"/>
      <c r="K33" s="563"/>
    </row>
    <row r="34" spans="1:11" ht="14.4">
      <c r="B34" s="1"/>
      <c r="C34" s="1"/>
      <c r="D34" s="1"/>
      <c r="E34" s="1"/>
      <c r="F34" s="1"/>
      <c r="G34" s="1"/>
      <c r="H34" s="55"/>
      <c r="I34" s="55"/>
    </row>
    <row r="40" spans="1:11" ht="15" customHeight="1"/>
    <row r="48" spans="1:11">
      <c r="B48" s="55"/>
      <c r="C48" s="55"/>
      <c r="D48" s="55"/>
      <c r="E48" s="55"/>
      <c r="F48" s="55"/>
      <c r="G48" s="55"/>
      <c r="H48" s="55"/>
      <c r="I48" s="55"/>
    </row>
    <row r="49" spans="2:9">
      <c r="B49" s="55"/>
      <c r="C49" s="55"/>
      <c r="D49" s="55"/>
      <c r="E49" s="55"/>
      <c r="F49" s="55"/>
      <c r="G49" s="55"/>
      <c r="H49" s="55"/>
      <c r="I49" s="55"/>
    </row>
    <row r="50" spans="2:9">
      <c r="B50" s="55"/>
      <c r="C50" s="55"/>
      <c r="D50" s="55"/>
      <c r="E50" s="55"/>
      <c r="F50" s="55"/>
      <c r="G50" s="55"/>
      <c r="H50" s="55"/>
      <c r="I50" s="55"/>
    </row>
    <row r="51" spans="2:9">
      <c r="B51" s="55"/>
      <c r="C51" s="55"/>
      <c r="D51" s="55"/>
      <c r="E51" s="55"/>
      <c r="F51" s="55"/>
      <c r="G51" s="55"/>
      <c r="H51" s="55"/>
      <c r="I51" s="55"/>
    </row>
    <row r="52" spans="2:9">
      <c r="B52" s="55"/>
      <c r="C52" s="55"/>
      <c r="D52" s="55"/>
      <c r="E52" s="55"/>
      <c r="F52" s="55"/>
      <c r="G52" s="55"/>
      <c r="H52" s="55"/>
      <c r="I52" s="55"/>
    </row>
    <row r="53" spans="2:9">
      <c r="B53" s="55"/>
      <c r="C53" s="55"/>
      <c r="D53" s="55"/>
      <c r="E53" s="55"/>
      <c r="F53" s="55"/>
      <c r="G53" s="55"/>
      <c r="H53" s="55"/>
      <c r="I53" s="55"/>
    </row>
    <row r="54" spans="2:9">
      <c r="B54" s="55"/>
      <c r="C54" s="55"/>
      <c r="D54" s="55"/>
      <c r="E54" s="55"/>
      <c r="F54" s="55"/>
      <c r="G54" s="55"/>
      <c r="H54" s="55"/>
      <c r="I54" s="55"/>
    </row>
    <row r="55" spans="2:9">
      <c r="B55" s="55"/>
      <c r="C55" s="55"/>
      <c r="D55" s="55"/>
      <c r="E55" s="55"/>
      <c r="F55" s="55"/>
      <c r="G55" s="55"/>
      <c r="H55" s="55"/>
      <c r="I55" s="55"/>
    </row>
    <row r="56" spans="2:9">
      <c r="B56" s="55"/>
      <c r="C56" s="55"/>
      <c r="D56" s="55"/>
      <c r="E56" s="55"/>
      <c r="F56" s="55"/>
      <c r="G56" s="55"/>
      <c r="H56" s="55"/>
      <c r="I56" s="55"/>
    </row>
    <row r="57" spans="2:9">
      <c r="B57" s="55"/>
      <c r="C57" s="55"/>
      <c r="D57" s="55"/>
      <c r="E57" s="55"/>
      <c r="F57" s="55"/>
      <c r="G57" s="55"/>
      <c r="H57" s="55"/>
      <c r="I57" s="55"/>
    </row>
    <row r="58" spans="2:9">
      <c r="B58" s="55"/>
      <c r="C58" s="55"/>
      <c r="D58" s="55"/>
      <c r="E58" s="55"/>
      <c r="F58" s="55"/>
      <c r="G58" s="55"/>
      <c r="H58" s="55"/>
      <c r="I58" s="55"/>
    </row>
    <row r="59" spans="2:9">
      <c r="B59" s="55"/>
      <c r="C59" s="55"/>
      <c r="D59" s="55"/>
      <c r="E59" s="55"/>
      <c r="F59" s="55"/>
      <c r="G59" s="55"/>
      <c r="H59" s="55"/>
      <c r="I59" s="55"/>
    </row>
  </sheetData>
  <printOptions horizontalCentered="1"/>
  <pageMargins left="0.7" right="0.7" top="0.75" bottom="0.75" header="0.3" footer="0.3"/>
  <pageSetup scale="81" fitToHeight="0" orientation="landscape" r:id="rId1"/>
  <headerFooter differentOddEven="1">
    <oddFooter>&amp;L&amp;"Arial"&amp;8Tyler Spencer&amp;C&amp;"Arial"&amp;8&amp;INot associated with PayPal. For educational purposes only.&amp;R&amp;"Arial"&amp;8Page &amp;P</oddFooter>
    <evenFooter>&amp;L&amp;"Arial"&amp;8Tyler Spencer&amp;C&amp;"Arial"&amp;8&amp;INot associated with PayPal. For educational purposes only.&amp;R&amp;"Arial"&amp;8Page &amp;P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EF960-DCEE-4A9B-BBA4-ACE8088ABFA4}">
  <sheetPr>
    <pageSetUpPr fitToPage="1"/>
  </sheetPr>
  <dimension ref="A1:S85"/>
  <sheetViews>
    <sheetView topLeftCell="A28" zoomScaleNormal="100" workbookViewId="0">
      <selection activeCell="I9" sqref="I9"/>
    </sheetView>
  </sheetViews>
  <sheetFormatPr defaultColWidth="9.109375" defaultRowHeight="13.8"/>
  <cols>
    <col min="1" max="1" width="2" style="55" customWidth="1"/>
    <col min="2" max="3" width="2.6640625" style="55" customWidth="1"/>
    <col min="4" max="6" width="9.109375" style="55"/>
    <col min="7" max="7" width="9" style="55" customWidth="1"/>
    <col min="8" max="8" width="9.5546875" style="55" customWidth="1"/>
    <col min="9" max="9" width="9.109375" style="55" customWidth="1"/>
    <col min="10" max="10" width="9.109375" style="55"/>
    <col min="11" max="11" width="12.33203125" style="55" customWidth="1"/>
    <col min="12" max="12" width="13.44140625" style="55" customWidth="1"/>
    <col min="13" max="15" width="10.33203125" style="55" bestFit="1" customWidth="1"/>
    <col min="16" max="16" width="2.6640625" style="55" customWidth="1"/>
    <col min="17" max="16384" width="9.109375" style="55"/>
  </cols>
  <sheetData>
    <row r="1" spans="1:19" ht="14.4">
      <c r="I1" s="218"/>
      <c r="L1"/>
      <c r="O1" s="725" t="str">
        <f>"CURRENTLY RUNNING: "&amp;UPPER(CHOOSE(Scenarios!$C$6,Scenarios!B10,Scenarios!B11,Scenarios!B12))&amp;" SCENARIO"</f>
        <v>CURRENTLY RUNNING: BASE CASE SCENARIO</v>
      </c>
    </row>
    <row r="2" spans="1:19" ht="22.8">
      <c r="B2" s="201" t="str">
        <f>Cover!B7</f>
        <v>PayPal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9"/>
    </row>
    <row r="3" spans="1:19" ht="18" thickBot="1">
      <c r="B3" s="219" t="s">
        <v>90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</row>
    <row r="5" spans="1:19" ht="17.399999999999999">
      <c r="A5" s="571"/>
      <c r="B5" s="571"/>
      <c r="C5" s="572" t="str">
        <f>"SUMMARY VALUES FOR "&amp;UPPER(CHOOSE(Scenarios!$C$6,Scenarios!B10,Scenarios!B11,Scenarios!B12))&amp;" SCENARIO"</f>
        <v>SUMMARY VALUES FOR BASE CASE SCENARIO</v>
      </c>
      <c r="D5" s="573"/>
      <c r="E5" s="573"/>
      <c r="F5" s="573"/>
      <c r="G5" s="573"/>
      <c r="H5" s="574"/>
      <c r="I5" s="574"/>
      <c r="J5" s="574"/>
      <c r="K5" s="574"/>
      <c r="L5" s="574"/>
      <c r="M5" s="574"/>
      <c r="N5" s="574"/>
      <c r="O5" s="574"/>
      <c r="P5" s="575"/>
      <c r="Q5" s="571"/>
      <c r="R5" s="571"/>
      <c r="S5" s="571"/>
    </row>
    <row r="6" spans="1:19">
      <c r="A6" s="445"/>
      <c r="B6" s="445"/>
      <c r="C6" s="781"/>
      <c r="D6" s="782"/>
      <c r="E6" s="782"/>
      <c r="F6" s="782"/>
      <c r="G6" s="782"/>
      <c r="H6" s="783"/>
      <c r="I6" s="783"/>
      <c r="J6" s="783"/>
      <c r="K6" s="784" t="s">
        <v>94</v>
      </c>
      <c r="L6" s="785"/>
      <c r="M6" s="785"/>
      <c r="N6" s="785"/>
      <c r="O6" s="785"/>
      <c r="P6" s="786"/>
      <c r="Q6" s="445"/>
      <c r="R6" s="445"/>
      <c r="S6" s="445"/>
    </row>
    <row r="7" spans="1:19">
      <c r="A7" s="445"/>
      <c r="B7" s="445"/>
      <c r="C7" s="779"/>
      <c r="D7" s="776" t="s">
        <v>93</v>
      </c>
      <c r="E7" s="775"/>
      <c r="F7" s="776" t="s">
        <v>329</v>
      </c>
      <c r="G7" s="775"/>
      <c r="H7" s="777">
        <f>IS!E6</f>
        <v>2023</v>
      </c>
      <c r="I7" s="777">
        <f>IS!F6</f>
        <v>2024</v>
      </c>
      <c r="J7" s="777">
        <f>IS!G6</f>
        <v>2025</v>
      </c>
      <c r="K7" s="755">
        <f>IS!H6</f>
        <v>2026</v>
      </c>
      <c r="L7" s="755">
        <f>IS!I6</f>
        <v>2027</v>
      </c>
      <c r="M7" s="755">
        <f>IS!J6</f>
        <v>2028</v>
      </c>
      <c r="N7" s="755">
        <f>IS!K6</f>
        <v>2029</v>
      </c>
      <c r="O7" s="755">
        <f>IS!L6</f>
        <v>2030</v>
      </c>
      <c r="P7" s="787"/>
      <c r="Q7" s="445"/>
      <c r="R7" s="445"/>
      <c r="S7" s="445"/>
    </row>
    <row r="8" spans="1:19" ht="6.75" customHeight="1">
      <c r="C8" s="780"/>
      <c r="D8" s="778"/>
      <c r="E8" s="778"/>
      <c r="F8" s="778"/>
      <c r="G8" s="778"/>
      <c r="H8" s="778"/>
      <c r="I8" s="778"/>
      <c r="J8" s="778"/>
      <c r="K8" s="778"/>
      <c r="L8" s="778"/>
      <c r="M8" s="778"/>
      <c r="N8" s="778"/>
      <c r="O8" s="778"/>
      <c r="P8" s="788"/>
    </row>
    <row r="9" spans="1:19">
      <c r="A9" s="571"/>
      <c r="B9" s="571"/>
      <c r="C9" s="576"/>
      <c r="D9" s="577" t="s">
        <v>330</v>
      </c>
      <c r="E9" s="571"/>
      <c r="F9" s="571"/>
      <c r="G9" s="571"/>
      <c r="H9" s="571"/>
      <c r="I9" s="571"/>
      <c r="J9" s="571"/>
      <c r="K9" s="571"/>
      <c r="L9" s="571"/>
      <c r="M9" s="571"/>
      <c r="N9" s="571"/>
      <c r="O9" s="571"/>
      <c r="P9" s="578"/>
      <c r="Q9" s="571"/>
      <c r="R9" s="571"/>
      <c r="S9" s="571"/>
    </row>
    <row r="10" spans="1:19" ht="14.4" thickBot="1">
      <c r="A10" s="571"/>
      <c r="B10" s="571"/>
      <c r="C10" s="576"/>
      <c r="D10" s="579"/>
      <c r="E10" s="571"/>
      <c r="F10" s="571"/>
      <c r="G10" s="571"/>
      <c r="H10" s="571"/>
      <c r="I10" s="571"/>
      <c r="J10" s="571"/>
      <c r="K10" s="571"/>
      <c r="L10" s="571"/>
      <c r="M10" s="571"/>
      <c r="N10" s="571"/>
      <c r="O10" s="571"/>
      <c r="P10" s="578"/>
      <c r="Q10" s="571"/>
      <c r="R10" s="571"/>
      <c r="S10" s="571"/>
    </row>
    <row r="11" spans="1:19" ht="14.4" thickBot="1">
      <c r="A11" s="571"/>
      <c r="B11" s="571"/>
      <c r="C11" s="576"/>
      <c r="D11" s="580" t="s">
        <v>95</v>
      </c>
      <c r="F11" s="581"/>
      <c r="G11" s="571"/>
      <c r="H11" s="582">
        <f>IS!E8</f>
        <v>29771</v>
      </c>
      <c r="I11" s="582">
        <f>IS!F8</f>
        <v>31797</v>
      </c>
      <c r="J11" s="582">
        <f>IS!G8</f>
        <v>33172</v>
      </c>
      <c r="K11" s="582">
        <f>IS!H8</f>
        <v>34315.686079999999</v>
      </c>
      <c r="L11" s="582">
        <f>IS!I8</f>
        <v>35688.888662399993</v>
      </c>
      <c r="M11" s="582">
        <f>IS!J8</f>
        <v>37318.555958271994</v>
      </c>
      <c r="N11" s="582">
        <f>IS!K8</f>
        <v>39243.381385100161</v>
      </c>
      <c r="O11" s="582">
        <f>IS!L8</f>
        <v>41267.005856659562</v>
      </c>
      <c r="P11" s="583"/>
      <c r="Q11" s="571"/>
      <c r="R11" s="571"/>
      <c r="S11" s="571"/>
    </row>
    <row r="12" spans="1:19">
      <c r="A12" s="571"/>
      <c r="B12" s="571"/>
      <c r="C12" s="576"/>
      <c r="D12" s="614" t="s">
        <v>331</v>
      </c>
      <c r="F12" s="571"/>
      <c r="G12" s="615"/>
      <c r="H12" s="584"/>
      <c r="I12" s="489">
        <f>(I11/H11)-1</f>
        <v>6.8052803063383793E-2</v>
      </c>
      <c r="J12" s="489">
        <f t="shared" ref="J12:O12" si="0">(J11/I11)-1</f>
        <v>4.3243073245903707E-2</v>
      </c>
      <c r="K12" s="489">
        <f t="shared" si="0"/>
        <v>3.4477453273845438E-2</v>
      </c>
      <c r="L12" s="489">
        <f t="shared" si="0"/>
        <v>4.0016760241909477E-2</v>
      </c>
      <c r="M12" s="489">
        <f t="shared" si="0"/>
        <v>4.5663156151705353E-2</v>
      </c>
      <c r="N12" s="489">
        <f t="shared" si="0"/>
        <v>5.1578239763093281E-2</v>
      </c>
      <c r="O12" s="489">
        <f t="shared" si="0"/>
        <v>5.1566006805104925E-2</v>
      </c>
      <c r="P12" s="616"/>
      <c r="Q12" s="571"/>
      <c r="R12" s="571"/>
      <c r="S12" s="571"/>
    </row>
    <row r="13" spans="1:19">
      <c r="A13" s="571"/>
      <c r="B13" s="571"/>
      <c r="C13" s="576"/>
      <c r="D13" s="585"/>
      <c r="F13" s="585"/>
      <c r="G13" s="585"/>
      <c r="H13" s="586"/>
      <c r="I13" s="586"/>
      <c r="J13" s="586"/>
      <c r="K13" s="586"/>
      <c r="L13" s="586"/>
      <c r="M13" s="586"/>
      <c r="N13" s="586"/>
      <c r="O13" s="586"/>
      <c r="P13" s="587"/>
      <c r="Q13" s="571"/>
      <c r="R13" s="571"/>
      <c r="S13" s="571"/>
    </row>
    <row r="14" spans="1:19" ht="14.4" thickBot="1">
      <c r="A14" s="571"/>
      <c r="B14" s="571"/>
      <c r="C14" s="576"/>
      <c r="D14" s="571"/>
      <c r="F14" s="571"/>
      <c r="G14" s="571"/>
      <c r="H14" s="584"/>
      <c r="I14" s="584"/>
      <c r="J14" s="584"/>
      <c r="K14" s="584"/>
      <c r="L14" s="584"/>
      <c r="M14" s="584"/>
      <c r="N14" s="584"/>
      <c r="O14" s="584"/>
      <c r="P14" s="588"/>
      <c r="Q14" s="571"/>
      <c r="R14" s="571"/>
      <c r="S14" s="571"/>
    </row>
    <row r="15" spans="1:19" ht="14.4" thickBot="1">
      <c r="A15" s="571"/>
      <c r="B15" s="571"/>
      <c r="C15" s="759"/>
      <c r="D15" s="580" t="s">
        <v>7</v>
      </c>
      <c r="F15" s="581"/>
      <c r="G15" s="571"/>
      <c r="H15" s="582">
        <f>IS!E28</f>
        <v>6100</v>
      </c>
      <c r="I15" s="582">
        <f>IS!F28</f>
        <v>6357</v>
      </c>
      <c r="J15" s="582">
        <f>IS!G28</f>
        <v>7028</v>
      </c>
      <c r="K15" s="582">
        <f>IS!H28</f>
        <v>7146.8349644603468</v>
      </c>
      <c r="L15" s="582">
        <f>IS!I28</f>
        <v>7104.3206789734631</v>
      </c>
      <c r="M15" s="582">
        <f>IS!J28</f>
        <v>7245.4197998950849</v>
      </c>
      <c r="N15" s="582">
        <f>IS!K28</f>
        <v>7545.2306702016103</v>
      </c>
      <c r="O15" s="582">
        <f>IS!L28</f>
        <v>7904.175177954181</v>
      </c>
      <c r="P15" s="583"/>
      <c r="Q15" s="571"/>
      <c r="R15" s="571"/>
      <c r="S15" s="571"/>
    </row>
    <row r="16" spans="1:19">
      <c r="A16" s="571"/>
      <c r="B16" s="571"/>
      <c r="C16" s="759"/>
      <c r="D16" s="614" t="s">
        <v>332</v>
      </c>
      <c r="F16" s="589"/>
      <c r="G16" s="615"/>
      <c r="H16" s="489">
        <f t="shared" ref="H16:J16" si="1">H15/H11</f>
        <v>0.2048973833596453</v>
      </c>
      <c r="I16" s="489">
        <f t="shared" si="1"/>
        <v>0.19992452118124351</v>
      </c>
      <c r="J16" s="489">
        <f t="shared" si="1"/>
        <v>0.21186542867478597</v>
      </c>
      <c r="K16" s="489">
        <f>K15/K11</f>
        <v>0.20826729058538895</v>
      </c>
      <c r="L16" s="489">
        <f t="shared" ref="L16:O16" si="2">L15/L11</f>
        <v>0.19906253585470191</v>
      </c>
      <c r="M16" s="489">
        <f t="shared" si="2"/>
        <v>0.19415059382245664</v>
      </c>
      <c r="N16" s="489">
        <f t="shared" si="2"/>
        <v>0.19226759784431743</v>
      </c>
      <c r="O16" s="489">
        <f t="shared" si="2"/>
        <v>0.19153740412883929</v>
      </c>
      <c r="P16" s="616"/>
      <c r="Q16" s="571"/>
      <c r="R16" s="571"/>
      <c r="S16" s="571"/>
    </row>
    <row r="17" spans="1:19">
      <c r="A17" s="571"/>
      <c r="B17" s="571"/>
      <c r="C17" s="759"/>
      <c r="D17" s="614" t="s">
        <v>331</v>
      </c>
      <c r="F17" s="571"/>
      <c r="G17" s="615"/>
      <c r="H17" s="584"/>
      <c r="I17" s="489">
        <f t="shared" ref="I17:K17" si="3">(I15/H15)-1</f>
        <v>4.2131147540983571E-2</v>
      </c>
      <c r="J17" s="489">
        <f t="shared" si="3"/>
        <v>0.1055529337737926</v>
      </c>
      <c r="K17" s="489">
        <f t="shared" si="3"/>
        <v>1.6908788340971315E-2</v>
      </c>
      <c r="L17" s="489">
        <f>(L15/K15)-1</f>
        <v>-5.9486871738745339E-3</v>
      </c>
      <c r="M17" s="489">
        <f t="shared" ref="M17:O17" si="4">(M15/L15)-1</f>
        <v>1.9861029266208474E-2</v>
      </c>
      <c r="N17" s="489">
        <f t="shared" si="4"/>
        <v>4.1379364976321664E-2</v>
      </c>
      <c r="O17" s="489">
        <f t="shared" si="4"/>
        <v>4.7572370341194548E-2</v>
      </c>
      <c r="P17" s="616"/>
      <c r="Q17" s="571"/>
      <c r="R17" s="571"/>
      <c r="S17" s="571"/>
    </row>
    <row r="18" spans="1:19">
      <c r="A18" s="571"/>
      <c r="B18" s="571"/>
      <c r="C18" s="759"/>
      <c r="D18" s="585"/>
      <c r="F18" s="585"/>
      <c r="G18" s="585"/>
      <c r="H18" s="586"/>
      <c r="I18" s="586"/>
      <c r="J18" s="586"/>
      <c r="K18" s="586"/>
      <c r="L18" s="586"/>
      <c r="M18" s="586"/>
      <c r="N18" s="586"/>
      <c r="O18" s="586"/>
      <c r="P18" s="587"/>
      <c r="Q18" s="571"/>
      <c r="R18" s="571"/>
      <c r="S18" s="571"/>
    </row>
    <row r="19" spans="1:19" ht="14.4" thickBot="1">
      <c r="A19" s="571"/>
      <c r="B19" s="571"/>
      <c r="C19" s="576"/>
      <c r="D19" s="571"/>
      <c r="F19" s="571"/>
      <c r="G19" s="571"/>
      <c r="H19" s="584"/>
      <c r="I19" s="584"/>
      <c r="J19" s="584"/>
      <c r="K19" s="584"/>
      <c r="L19" s="584"/>
      <c r="M19" s="584"/>
      <c r="N19" s="584"/>
      <c r="O19" s="584"/>
      <c r="P19" s="588"/>
      <c r="Q19" s="571"/>
      <c r="R19" s="571"/>
      <c r="S19" s="571"/>
    </row>
    <row r="20" spans="1:19" ht="14.4" thickBot="1">
      <c r="A20" s="571"/>
      <c r="B20" s="571"/>
      <c r="C20" s="576"/>
      <c r="D20" s="580" t="s">
        <v>97</v>
      </c>
      <c r="F20" s="581"/>
      <c r="G20" s="571"/>
      <c r="H20" s="582">
        <f>IS!E25</f>
        <v>4246</v>
      </c>
      <c r="I20" s="582">
        <f>IS!F25</f>
        <v>4147</v>
      </c>
      <c r="J20" s="582">
        <f>IS!G25</f>
        <v>5233</v>
      </c>
      <c r="K20" s="582">
        <f>IS!H25</f>
        <v>5255.370916270037</v>
      </c>
      <c r="L20" s="582">
        <f>IS!I25</f>
        <v>5168.7406383377765</v>
      </c>
      <c r="M20" s="582">
        <f>IS!J25</f>
        <v>5227.7720613742131</v>
      </c>
      <c r="N20" s="582">
        <f>IS!K25</f>
        <v>5453.3605313890184</v>
      </c>
      <c r="O20" s="582">
        <f>IS!L25</f>
        <v>5705.2741087865807</v>
      </c>
      <c r="P20" s="583"/>
      <c r="Q20" s="571"/>
      <c r="R20" s="571"/>
      <c r="S20" s="571"/>
    </row>
    <row r="21" spans="1:19">
      <c r="A21" s="571"/>
      <c r="B21" s="571"/>
      <c r="C21" s="576"/>
      <c r="D21" s="614" t="s">
        <v>332</v>
      </c>
      <c r="F21" s="589"/>
      <c r="G21" s="615"/>
      <c r="H21" s="489">
        <f>H20/H11</f>
        <v>0.14262201471230393</v>
      </c>
      <c r="I21" s="489">
        <f t="shared" ref="I21:O21" si="5">I20/I11</f>
        <v>0.13042110890964556</v>
      </c>
      <c r="J21" s="489">
        <f t="shared" si="5"/>
        <v>0.15775352707102375</v>
      </c>
      <c r="K21" s="489">
        <f t="shared" si="5"/>
        <v>0.15314777341237518</v>
      </c>
      <c r="L21" s="489">
        <f t="shared" si="5"/>
        <v>0.14482772739805988</v>
      </c>
      <c r="M21" s="489">
        <f t="shared" si="5"/>
        <v>0.14008505761100948</v>
      </c>
      <c r="N21" s="489">
        <f t="shared" si="5"/>
        <v>0.13896255467576854</v>
      </c>
      <c r="O21" s="489">
        <f t="shared" si="5"/>
        <v>0.13825267887386306</v>
      </c>
      <c r="P21" s="616"/>
      <c r="Q21" s="571"/>
      <c r="R21" s="571"/>
      <c r="S21" s="571"/>
    </row>
    <row r="22" spans="1:19">
      <c r="A22" s="571"/>
      <c r="B22" s="571"/>
      <c r="C22" s="576"/>
      <c r="D22" s="614" t="s">
        <v>331</v>
      </c>
      <c r="F22" s="589"/>
      <c r="G22" s="615"/>
      <c r="H22" s="584"/>
      <c r="I22" s="489">
        <f>(I20/H20)-1</f>
        <v>-2.3316062176165775E-2</v>
      </c>
      <c r="J22" s="489">
        <f t="shared" ref="J22:O22" si="6">(J20/I20)-1</f>
        <v>0.26187605497950317</v>
      </c>
      <c r="K22" s="489">
        <f t="shared" si="6"/>
        <v>4.2749696675017379E-3</v>
      </c>
      <c r="L22" s="489">
        <f t="shared" si="6"/>
        <v>-1.6484141521593276E-2</v>
      </c>
      <c r="M22" s="489">
        <f t="shared" si="6"/>
        <v>1.1420852228217093E-2</v>
      </c>
      <c r="N22" s="489">
        <f t="shared" si="6"/>
        <v>4.3151933054155656E-2</v>
      </c>
      <c r="O22" s="489">
        <f t="shared" si="6"/>
        <v>4.619419089340826E-2</v>
      </c>
      <c r="P22" s="616"/>
      <c r="Q22" s="571"/>
      <c r="R22" s="571"/>
      <c r="S22" s="571"/>
    </row>
    <row r="23" spans="1:19">
      <c r="A23" s="571"/>
      <c r="B23" s="571"/>
      <c r="C23" s="576"/>
      <c r="D23" s="615"/>
      <c r="F23" s="589"/>
      <c r="G23" s="615"/>
      <c r="H23" s="586"/>
      <c r="I23" s="586"/>
      <c r="J23" s="586"/>
      <c r="K23" s="586"/>
      <c r="L23" s="586"/>
      <c r="M23" s="586"/>
      <c r="N23" s="586"/>
      <c r="O23" s="586"/>
      <c r="P23" s="587"/>
      <c r="Q23" s="571"/>
      <c r="R23" s="571"/>
      <c r="S23" s="571"/>
    </row>
    <row r="24" spans="1:19">
      <c r="A24" s="571"/>
      <c r="B24" s="571"/>
      <c r="C24" s="576"/>
      <c r="D24" s="580" t="s">
        <v>394</v>
      </c>
      <c r="F24" s="589"/>
      <c r="G24" s="615"/>
      <c r="H24" s="584"/>
      <c r="I24" s="617"/>
      <c r="J24" s="617"/>
      <c r="K24" s="617"/>
      <c r="L24" s="617"/>
      <c r="M24" s="617"/>
      <c r="N24" s="617"/>
      <c r="O24" s="617"/>
      <c r="P24" s="616"/>
      <c r="Q24" s="571"/>
      <c r="R24" s="571"/>
      <c r="S24" s="571"/>
    </row>
    <row r="25" spans="1:19">
      <c r="A25" s="571"/>
      <c r="B25" s="571"/>
      <c r="C25" s="576"/>
      <c r="D25" s="330" t="s">
        <v>390</v>
      </c>
      <c r="F25" s="589"/>
      <c r="G25" s="615"/>
      <c r="H25" s="584"/>
      <c r="I25" s="617"/>
      <c r="J25" s="617"/>
      <c r="K25" s="149">
        <f ca="1">'LBO Debt Schedule'!H89</f>
        <v>26385.010096577949</v>
      </c>
      <c r="L25" s="149">
        <f ca="1">'LBO Debt Schedule'!I89</f>
        <v>22348.57784359045</v>
      </c>
      <c r="M25" s="149">
        <f ca="1">'LBO Debt Schedule'!J89</f>
        <v>18127.412894997313</v>
      </c>
      <c r="N25" s="149">
        <f ca="1">'LBO Debt Schedule'!K89</f>
        <v>13587.376068240435</v>
      </c>
      <c r="O25" s="149">
        <f ca="1">'LBO Debt Schedule'!L89</f>
        <v>8614.2823674161446</v>
      </c>
      <c r="P25" s="616"/>
      <c r="Q25" s="571"/>
      <c r="R25" s="571"/>
      <c r="S25" s="571"/>
    </row>
    <row r="26" spans="1:19">
      <c r="A26" s="571"/>
      <c r="B26" s="571"/>
      <c r="C26" s="576"/>
      <c r="D26" s="330" t="s">
        <v>359</v>
      </c>
      <c r="F26" s="589"/>
      <c r="G26" s="615"/>
      <c r="H26" s="584"/>
      <c r="I26" s="617"/>
      <c r="J26" s="617"/>
      <c r="K26" s="149">
        <f ca="1">'LBO Debt Schedule'!H90</f>
        <v>25385.010096577949</v>
      </c>
      <c r="L26" s="149">
        <f ca="1">'LBO Debt Schedule'!I90</f>
        <v>21348.57784359045</v>
      </c>
      <c r="M26" s="149">
        <f ca="1">'LBO Debt Schedule'!J90</f>
        <v>17127.412894997313</v>
      </c>
      <c r="N26" s="149">
        <f ca="1">'LBO Debt Schedule'!K90</f>
        <v>12587.376068240435</v>
      </c>
      <c r="O26" s="149">
        <f ca="1">'LBO Debt Schedule'!L90</f>
        <v>7614.2823674161446</v>
      </c>
      <c r="P26" s="616"/>
      <c r="Q26" s="571"/>
      <c r="R26" s="571"/>
      <c r="S26" s="571"/>
    </row>
    <row r="27" spans="1:19">
      <c r="A27" s="571"/>
      <c r="B27" s="571"/>
      <c r="C27" s="576"/>
      <c r="D27" s="330" t="s">
        <v>391</v>
      </c>
      <c r="F27" s="589"/>
      <c r="G27" s="615"/>
      <c r="H27" s="584"/>
      <c r="I27" s="617"/>
      <c r="J27" s="617"/>
      <c r="K27" s="347">
        <f ca="1">'LBO Debt Schedule'!H91</f>
        <v>3.6918454431625825</v>
      </c>
      <c r="L27" s="347">
        <f ca="1">'LBO Debt Schedule'!I91</f>
        <v>3.1457726717960739</v>
      </c>
      <c r="M27" s="347">
        <f ca="1">'LBO Debt Schedule'!J91</f>
        <v>2.5019134012441628</v>
      </c>
      <c r="N27" s="347">
        <f ca="1">'LBO Debt Schedule'!K91</f>
        <v>1.8007900171827851</v>
      </c>
      <c r="O27" s="347">
        <f ca="1">'LBO Debt Schedule'!L91</f>
        <v>1.0898395055112833</v>
      </c>
      <c r="P27" s="616"/>
      <c r="Q27" s="571"/>
      <c r="R27" s="571"/>
      <c r="S27" s="571"/>
    </row>
    <row r="28" spans="1:19">
      <c r="A28" s="571"/>
      <c r="B28" s="571"/>
      <c r="C28" s="576"/>
      <c r="D28" s="330" t="s">
        <v>392</v>
      </c>
      <c r="F28" s="589"/>
      <c r="G28" s="615"/>
      <c r="H28" s="584"/>
      <c r="I28" s="617"/>
      <c r="J28" s="617"/>
      <c r="K28" s="347">
        <f ca="1">'LBO Debt Schedule'!H92</f>
        <v>3.5519233650716817</v>
      </c>
      <c r="L28" s="347">
        <f ca="1">'LBO Debt Schedule'!I92</f>
        <v>3.0050132599976056</v>
      </c>
      <c r="M28" s="347">
        <f ca="1">'LBO Debt Schedule'!J92</f>
        <v>2.3638951735060707</v>
      </c>
      <c r="N28" s="347">
        <f ca="1">'LBO Debt Schedule'!K92</f>
        <v>1.6682559643871162</v>
      </c>
      <c r="O28" s="347">
        <f ca="1">'LBO Debt Schedule'!L92</f>
        <v>0.96332409087458148</v>
      </c>
      <c r="P28" s="616"/>
      <c r="Q28" s="571"/>
      <c r="R28" s="571"/>
      <c r="S28" s="571"/>
    </row>
    <row r="29" spans="1:19">
      <c r="A29" s="571"/>
      <c r="B29" s="571"/>
      <c r="C29" s="576"/>
      <c r="D29" s="330" t="s">
        <v>393</v>
      </c>
      <c r="F29" s="589"/>
      <c r="G29" s="615"/>
      <c r="H29" s="584"/>
      <c r="I29" s="617"/>
      <c r="J29" s="617"/>
      <c r="K29" s="347">
        <f ca="1">'LBO Debt Schedule'!H93</f>
        <v>3.9472368834483555</v>
      </c>
      <c r="L29" s="347">
        <f ca="1">'LBO Debt Schedule'!I93</f>
        <v>4.6524268905953017</v>
      </c>
      <c r="M29" s="347">
        <f ca="1">'LBO Debt Schedule'!J93</f>
        <v>5.8134091219862762</v>
      </c>
      <c r="N29" s="347">
        <f ca="1">'LBO Debt Schedule'!K93</f>
        <v>7.7362734785736293</v>
      </c>
      <c r="O29" s="347">
        <f ca="1">'LBO Debt Schedule'!L93</f>
        <v>11.339523364859414</v>
      </c>
      <c r="P29" s="616"/>
      <c r="Q29" s="571"/>
      <c r="R29" s="571"/>
      <c r="S29" s="571"/>
    </row>
    <row r="30" spans="1:19">
      <c r="A30" s="571"/>
      <c r="B30" s="571"/>
      <c r="C30" s="590"/>
      <c r="D30" s="591"/>
      <c r="E30" s="592"/>
      <c r="F30" s="591"/>
      <c r="G30" s="591"/>
      <c r="H30" s="591"/>
      <c r="I30" s="591"/>
      <c r="J30" s="591"/>
      <c r="K30" s="591"/>
      <c r="L30" s="591"/>
      <c r="M30" s="591"/>
      <c r="N30" s="591"/>
      <c r="O30" s="591"/>
      <c r="P30" s="593"/>
      <c r="Q30" s="571"/>
      <c r="R30" s="571"/>
      <c r="S30" s="571"/>
    </row>
    <row r="32" spans="1:19">
      <c r="C32" s="572" t="s">
        <v>576</v>
      </c>
      <c r="D32" s="59"/>
      <c r="E32" s="59"/>
      <c r="F32" s="59"/>
      <c r="G32" s="59"/>
      <c r="H32" s="59"/>
      <c r="K32" s="594" t="s">
        <v>577</v>
      </c>
      <c r="L32" s="59"/>
      <c r="M32" s="59"/>
      <c r="N32" s="59"/>
      <c r="O32" s="59"/>
      <c r="P32" s="59"/>
    </row>
    <row r="33" spans="3:16">
      <c r="C33" s="791" t="s">
        <v>385</v>
      </c>
      <c r="D33" s="792"/>
      <c r="E33" s="792"/>
      <c r="F33" s="792"/>
      <c r="G33" s="792"/>
      <c r="H33" s="793" t="s">
        <v>386</v>
      </c>
      <c r="K33" s="789"/>
      <c r="L33" s="783"/>
      <c r="M33" s="783"/>
      <c r="N33" s="783"/>
      <c r="O33" s="783"/>
      <c r="P33" s="786"/>
    </row>
    <row r="34" spans="3:16" ht="6.75" customHeight="1">
      <c r="C34" s="780"/>
      <c r="D34" s="778"/>
      <c r="E34" s="778"/>
      <c r="F34" s="778"/>
      <c r="G34" s="778"/>
      <c r="H34" s="790"/>
      <c r="K34" s="780"/>
      <c r="L34" s="756"/>
      <c r="M34" s="756"/>
      <c r="N34" s="756"/>
      <c r="O34" s="756"/>
      <c r="P34" s="788"/>
    </row>
    <row r="35" spans="3:16" ht="15.6">
      <c r="C35" s="595" t="s">
        <v>383</v>
      </c>
      <c r="D35" s="1"/>
      <c r="E35" s="1"/>
      <c r="F35" s="1"/>
      <c r="G35" s="1"/>
      <c r="H35" s="596">
        <f>LBO!D48</f>
        <v>19244.940000000002</v>
      </c>
      <c r="K35" s="93"/>
      <c r="L35" s="56"/>
      <c r="M35" s="56"/>
      <c r="N35" s="476" t="s">
        <v>27</v>
      </c>
      <c r="O35" s="476" t="s">
        <v>7</v>
      </c>
      <c r="P35" s="597"/>
    </row>
    <row r="36" spans="3:16" ht="14.4">
      <c r="C36" s="595" t="s">
        <v>387</v>
      </c>
      <c r="D36" s="1"/>
      <c r="E36" s="1"/>
      <c r="F36" s="1"/>
      <c r="G36" s="1"/>
      <c r="H36" s="598">
        <f>('LBO Exit Valuation'!G8 - LBO!E10) * LBO!E22</f>
        <v>8065.2262456792669</v>
      </c>
      <c r="K36" s="198" t="s">
        <v>395</v>
      </c>
      <c r="L36" s="56"/>
      <c r="M36" s="56"/>
      <c r="N36" s="599">
        <f>DCF!C91</f>
        <v>55213.605113671438</v>
      </c>
      <c r="O36" s="599">
        <f>DCF!D91</f>
        <v>53479.883569257865</v>
      </c>
      <c r="P36" s="597"/>
    </row>
    <row r="37" spans="3:16" ht="14.4">
      <c r="C37" s="595" t="s">
        <v>388</v>
      </c>
      <c r="D37" s="1"/>
      <c r="E37" s="1"/>
      <c r="F37" s="1"/>
      <c r="G37" s="1"/>
      <c r="H37" s="598">
        <f>('LBO Exit Valuation'!G7 - LBO!E22) * 'LBO Exit Valuation'!G8</f>
        <v>0</v>
      </c>
      <c r="K37" s="198" t="s">
        <v>10</v>
      </c>
      <c r="L37" s="56"/>
      <c r="M37" s="56"/>
      <c r="N37" s="600">
        <f>DCF!C92</f>
        <v>-3369</v>
      </c>
      <c r="O37" s="600">
        <f>DCF!D92</f>
        <v>-3369</v>
      </c>
      <c r="P37" s="597"/>
    </row>
    <row r="38" spans="3:16" ht="14.4">
      <c r="C38" s="595" t="s">
        <v>389</v>
      </c>
      <c r="D38" s="1"/>
      <c r="E38" s="1"/>
      <c r="F38" s="1"/>
      <c r="G38" s="1"/>
      <c r="H38" s="598">
        <f ca="1">(SUM(LBO!D43:D47) - ('LBO Debt Schedule'!L66))</f>
        <v>21769.717632583855</v>
      </c>
      <c r="K38" s="198" t="s">
        <v>307</v>
      </c>
      <c r="L38" s="56"/>
      <c r="M38" s="56"/>
      <c r="N38" s="130">
        <f>N36-N37</f>
        <v>58582.605113671438</v>
      </c>
      <c r="O38" s="130">
        <f>O36-O37</f>
        <v>56848.883569257865</v>
      </c>
      <c r="P38" s="597"/>
    </row>
    <row r="39" spans="3:16" ht="14.4">
      <c r="C39" s="595" t="s">
        <v>601</v>
      </c>
      <c r="D39" s="1"/>
      <c r="E39" s="1"/>
      <c r="F39" s="1"/>
      <c r="G39" s="1"/>
      <c r="H39" s="598">
        <f>-LBO!D37</f>
        <v>-1364.94</v>
      </c>
      <c r="K39" s="198" t="s">
        <v>308</v>
      </c>
      <c r="L39" s="56"/>
      <c r="M39" s="56"/>
      <c r="N39" s="152">
        <f>DCF!C94</f>
        <v>952.42099999999994</v>
      </c>
      <c r="O39" s="130">
        <f>DCF!D94</f>
        <v>952.42099999999994</v>
      </c>
      <c r="P39" s="597"/>
    </row>
    <row r="40" spans="3:16" ht="14.4">
      <c r="C40" s="601" t="s">
        <v>384</v>
      </c>
      <c r="D40" s="602"/>
      <c r="E40" s="602"/>
      <c r="F40" s="602"/>
      <c r="G40" s="602"/>
      <c r="H40" s="603">
        <f ca="1">'LBO Exit Valuation'!G19</f>
        <v>47714.943878263119</v>
      </c>
      <c r="K40" s="721" t="s">
        <v>396</v>
      </c>
      <c r="L40" s="56"/>
      <c r="M40" s="56"/>
      <c r="N40" s="720">
        <f>N38/N39</f>
        <v>61.509148909643365</v>
      </c>
      <c r="O40" s="720">
        <f>O38/O39</f>
        <v>59.688817832930887</v>
      </c>
      <c r="P40" s="597"/>
    </row>
    <row r="41" spans="3:16" ht="14.4">
      <c r="C41" s="618" t="s">
        <v>120</v>
      </c>
      <c r="D41" s="604"/>
      <c r="E41" s="604"/>
      <c r="F41" s="604"/>
      <c r="G41" s="604"/>
      <c r="H41" s="619">
        <f ca="1">SUM(H35:H39)-H40</f>
        <v>0</v>
      </c>
      <c r="K41" s="307"/>
      <c r="L41" s="605"/>
      <c r="M41" s="605"/>
      <c r="N41" s="606"/>
      <c r="O41" s="606"/>
      <c r="P41" s="607"/>
    </row>
    <row r="43" spans="3:16">
      <c r="C43" s="594" t="s">
        <v>575</v>
      </c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</row>
    <row r="44" spans="3:16">
      <c r="C44" s="789"/>
      <c r="D44" s="783"/>
      <c r="E44" s="783"/>
      <c r="F44" s="783"/>
      <c r="G44" s="783"/>
      <c r="H44" s="783"/>
      <c r="I44" s="783"/>
      <c r="J44" s="783"/>
      <c r="K44" s="783"/>
      <c r="L44" s="783"/>
      <c r="M44" s="783"/>
      <c r="N44" s="783"/>
      <c r="O44" s="783"/>
      <c r="P44" s="786"/>
    </row>
    <row r="45" spans="3:16">
      <c r="C45" s="780"/>
      <c r="D45" s="756"/>
      <c r="E45" s="756"/>
      <c r="F45" s="756"/>
      <c r="G45" s="756"/>
      <c r="H45" s="756"/>
      <c r="I45" s="756"/>
      <c r="J45" s="756"/>
      <c r="K45" s="756"/>
      <c r="L45" s="756"/>
      <c r="M45" s="756"/>
      <c r="N45" s="756"/>
      <c r="O45" s="756"/>
      <c r="P45" s="788"/>
    </row>
    <row r="46" spans="3:16" ht="15.6">
      <c r="C46" s="93"/>
      <c r="D46" s="56"/>
      <c r="E46" s="56"/>
      <c r="F46" s="56"/>
      <c r="G46" s="56"/>
      <c r="H46" s="56"/>
      <c r="I46" s="56"/>
      <c r="J46" s="56"/>
      <c r="K46" s="56"/>
      <c r="L46" s="550" t="s">
        <v>565</v>
      </c>
      <c r="M46" s="476" t="s">
        <v>426</v>
      </c>
      <c r="N46" s="476" t="s">
        <v>558</v>
      </c>
      <c r="O46" s="550" t="s">
        <v>428</v>
      </c>
      <c r="P46" s="597"/>
    </row>
    <row r="47" spans="3:16">
      <c r="C47" s="198" t="str">
        <f>"DCF Value at "&amp;TEXT(DCF!D122,"0.0x")&amp;"-"&amp;TEXT(DCF!H122,"0.0x")&amp;" Exit EBITDA Range at "&amp;TEXT(DCF!C125,"0.0%")&amp;" WACC"</f>
        <v>DCF Value at 6.0x-8.0x Exit EBITDA Range at 9.2% WACC</v>
      </c>
      <c r="D47" s="56"/>
      <c r="E47" s="56"/>
      <c r="F47" s="56"/>
      <c r="G47" s="56"/>
      <c r="H47" s="56"/>
      <c r="I47" s="56"/>
      <c r="J47" s="56"/>
      <c r="K47" s="56"/>
      <c r="L47" s="125" t="s">
        <v>566</v>
      </c>
      <c r="M47" s="608">
        <f>DCF!D166</f>
        <v>54.894512747080306</v>
      </c>
      <c r="N47" s="609">
        <f>O47-M47</f>
        <v>11.166026079773353</v>
      </c>
      <c r="O47" s="608">
        <f>DCF!F166</f>
        <v>66.060538826853659</v>
      </c>
      <c r="P47" s="597"/>
    </row>
    <row r="48" spans="3:16">
      <c r="C48" s="198" t="str">
        <f>"Implied precedent transaction value at "&amp;TEXT(Precedents!F81,"0.0x")&amp;"-"&amp;TEXT(Precedents!E81,"0.0x")&amp;" based on LTM EBITDA"</f>
        <v>Implied precedent transaction value at 13.7x-15.8x based on LTM EBITDA</v>
      </c>
      <c r="D48" s="56"/>
      <c r="E48" s="56"/>
      <c r="F48" s="56"/>
      <c r="G48" s="56"/>
      <c r="H48" s="56"/>
      <c r="I48" s="56"/>
      <c r="J48" s="56"/>
      <c r="K48" s="56"/>
      <c r="L48" s="125" t="s">
        <v>567</v>
      </c>
      <c r="M48" s="608">
        <f>Precedents!F87</f>
        <v>100.73200782759284</v>
      </c>
      <c r="N48" s="609">
        <f>O48-M48</f>
        <v>14.88763043362485</v>
      </c>
      <c r="O48" s="608">
        <f>Precedents!E87</f>
        <v>115.61963826121769</v>
      </c>
      <c r="P48" s="597"/>
    </row>
    <row r="49" spans="3:16">
      <c r="C49" s="198" t="str">
        <f>"Implied comparable company value at "&amp;TEXT(Comps!M48,"0.0x")&amp;"-"&amp;TEXT(Comps!M47,"0.0x")&amp;" based on LTM EBITDA"</f>
        <v>Implied comparable company value at 10.5x-12.2x based on LTM EBITDA</v>
      </c>
      <c r="D49" s="56"/>
      <c r="E49" s="56"/>
      <c r="F49" s="56"/>
      <c r="G49" s="56"/>
      <c r="H49" s="56"/>
      <c r="I49" s="56"/>
      <c r="J49" s="56"/>
      <c r="K49" s="56"/>
      <c r="L49" s="125" t="s">
        <v>568</v>
      </c>
      <c r="M49" s="608">
        <f>Comps!M58</f>
        <v>77.949123013216166</v>
      </c>
      <c r="N49" s="609">
        <f>O49-M49</f>
        <v>12.0637855559321</v>
      </c>
      <c r="O49" s="608">
        <f>Comps!M64</f>
        <v>90.012908569148266</v>
      </c>
      <c r="P49" s="597"/>
    </row>
    <row r="50" spans="3:16">
      <c r="C50" s="198" t="str">
        <f>"Offer value/share at "&amp;TEXT('LBO Returns'!F25,"0.0%")&amp;" - "&amp;TEXT('LBO Returns'!I25,"0.0%")&amp;" IRR"</f>
        <v>Offer value/share at 15.0% - 30.0% IRR</v>
      </c>
      <c r="D50" s="56"/>
      <c r="E50" s="56"/>
      <c r="F50" s="56"/>
      <c r="G50" s="56"/>
      <c r="H50" s="56"/>
      <c r="I50" s="56"/>
      <c r="J50" s="56"/>
      <c r="K50" s="56"/>
      <c r="L50" s="125" t="s">
        <v>569</v>
      </c>
      <c r="M50" s="608">
        <f ca="1">'LBO Returns'!I28</f>
        <v>41.902773738773334</v>
      </c>
      <c r="N50" s="609">
        <f ca="1">O50-M50</f>
        <v>11.41484527879976</v>
      </c>
      <c r="O50" s="676">
        <f ca="1">'LBO Returns'!F28</f>
        <v>53.317619017573094</v>
      </c>
      <c r="P50" s="597"/>
    </row>
    <row r="51" spans="3:16">
      <c r="C51" s="610" t="s">
        <v>429</v>
      </c>
      <c r="G51" s="336"/>
      <c r="H51" s="336"/>
      <c r="I51" s="336"/>
      <c r="J51" s="336"/>
      <c r="K51" s="336"/>
      <c r="L51" s="125" t="s">
        <v>621</v>
      </c>
      <c r="M51" s="270">
        <v>38.46</v>
      </c>
      <c r="N51" s="257">
        <f>O51-M51</f>
        <v>41.04</v>
      </c>
      <c r="O51" s="270">
        <v>79.5</v>
      </c>
      <c r="P51" s="597"/>
    </row>
    <row r="52" spans="3:16" ht="14.4">
      <c r="C52" s="94"/>
      <c r="D52" s="63"/>
      <c r="E52" s="63"/>
      <c r="F52" s="63"/>
      <c r="G52" s="605"/>
      <c r="H52" s="605"/>
      <c r="I52" s="605"/>
      <c r="J52" s="605"/>
      <c r="K52" s="605"/>
      <c r="L52" s="605"/>
      <c r="M52" s="605"/>
      <c r="N52" s="611"/>
      <c r="O52" s="612"/>
      <c r="P52" s="613"/>
    </row>
    <row r="53" spans="3:16">
      <c r="C53" s="571"/>
      <c r="D53" s="571"/>
      <c r="E53" s="571"/>
      <c r="F53" s="571"/>
      <c r="G53" s="571"/>
    </row>
    <row r="85" spans="2:16"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</row>
  </sheetData>
  <printOptions horizontalCentered="1"/>
  <pageMargins left="0.7" right="0.7" top="0.75" bottom="0.75" header="0.3" footer="0.3"/>
  <pageSetup scale="93" fitToHeight="0" orientation="landscape" r:id="rId1"/>
  <headerFooter differentOddEven="1">
    <oddFooter>&amp;L&amp;"Arial"&amp;8Tyler Spencer&amp;C&amp;"Arial"&amp;8&amp;INot associated with PayPal. For educational purposes only.&amp;R&amp;"Arial"&amp;8Page &amp;P</oddFooter>
    <evenFooter>&amp;L&amp;"Arial"&amp;8Tyler Spencer&amp;C&amp;"Arial"&amp;8&amp;INot associated with PayPal. For educational purposes only.&amp;R&amp;"Arial"&amp;8Page &amp;P</evenFooter>
  </headerFooter>
  <rowBreaks count="2" manualBreakCount="2">
    <brk id="30" max="16383" man="1"/>
    <brk id="52" max="16383" man="1"/>
  </rowBreaks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lineWeight="1" displayEmptyCellsAs="gap" high="1" low="1" xr2:uid="{0D2E533E-FBC3-41BE-BA64-069C5C551A35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'Summary Outputs'!H15:O15</xm:f>
              <xm:sqref>F15</xm:sqref>
            </x14:sparkline>
          </x14:sparklines>
        </x14:sparklineGroup>
        <x14:sparklineGroup lineWeight="1" displayEmptyCellsAs="gap" high="1" low="1" xr2:uid="{7D98546C-3643-4773-B941-C4E329234CD6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'Summary Outputs'!H11:O11</xm:f>
              <xm:sqref>F11</xm:sqref>
            </x14:sparkline>
          </x14:sparklines>
        </x14:sparklineGroup>
        <x14:sparklineGroup lineWeight="1" displayEmptyCellsAs="gap" high="1" low="1" xr2:uid="{C92F0933-9303-450F-8A4F-3C276B9BBF00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'Summary Outputs'!H20:O20</xm:f>
              <xm:sqref>F20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6B74-D5FA-4361-A546-F4025A86A7F4}">
  <sheetPr>
    <pageSetUpPr fitToPage="1"/>
  </sheetPr>
  <dimension ref="A1:AJ76"/>
  <sheetViews>
    <sheetView zoomScale="101" zoomScaleNormal="70" workbookViewId="0">
      <selection activeCell="O2" sqref="O2"/>
    </sheetView>
  </sheetViews>
  <sheetFormatPr defaultColWidth="9.109375" defaultRowHeight="13.8"/>
  <cols>
    <col min="1" max="1" width="2" style="55" customWidth="1"/>
    <col min="2" max="2" width="4" style="55" customWidth="1"/>
    <col min="3" max="3" width="2.6640625" style="55" customWidth="1"/>
    <col min="4" max="4" width="9.109375" style="55"/>
    <col min="5" max="5" width="19.109375" style="55" customWidth="1"/>
    <col min="6" max="6" width="10.88671875" style="55" customWidth="1"/>
    <col min="7" max="7" width="8.109375" style="55" customWidth="1"/>
    <col min="8" max="8" width="12.109375" style="55" customWidth="1"/>
    <col min="9" max="9" width="11.6640625" style="55" customWidth="1"/>
    <col min="10" max="10" width="12.6640625" style="55" customWidth="1"/>
    <col min="11" max="14" width="11" style="55" customWidth="1"/>
    <col min="15" max="16384" width="9.109375" style="55"/>
  </cols>
  <sheetData>
    <row r="1" spans="1:14" ht="14.4">
      <c r="I1" s="218"/>
      <c r="L1"/>
      <c r="N1" s="725" t="str">
        <f>"CURRENTLY RUNNING: "&amp;UPPER(CHOOSE(Scenarios!$C$6,Scenarios!B10,Scenarios!B11,Scenarios!B12))&amp;" SCENARIO"</f>
        <v>CURRENTLY RUNNING: BASE CASE SCENARIO</v>
      </c>
    </row>
    <row r="2" spans="1:14" ht="22.8">
      <c r="B2" s="201" t="str">
        <f>Cover!B7</f>
        <v>PayPal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18" thickBot="1">
      <c r="B3" s="736" t="s">
        <v>91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</row>
    <row r="5" spans="1:14">
      <c r="C5" s="799" t="s">
        <v>188</v>
      </c>
      <c r="D5" s="762"/>
      <c r="E5" s="762"/>
      <c r="F5" s="762"/>
      <c r="G5" s="762"/>
      <c r="H5" s="766"/>
      <c r="I5" s="56"/>
      <c r="J5" s="809" t="s">
        <v>189</v>
      </c>
      <c r="K5" s="807"/>
      <c r="L5" s="807"/>
      <c r="M5" s="807"/>
      <c r="N5" s="812"/>
    </row>
    <row r="6" spans="1:14" ht="6.75" customHeight="1">
      <c r="C6" s="780"/>
      <c r="D6" s="757"/>
      <c r="E6" s="757"/>
      <c r="F6" s="757"/>
      <c r="G6" s="757"/>
      <c r="H6" s="484"/>
      <c r="I6" s="56"/>
      <c r="J6" s="810"/>
      <c r="K6" s="757"/>
      <c r="L6" s="757"/>
      <c r="M6" s="757"/>
      <c r="N6" s="813"/>
    </row>
    <row r="7" spans="1:14">
      <c r="C7" s="800" t="s">
        <v>190</v>
      </c>
      <c r="D7" s="176" t="s">
        <v>191</v>
      </c>
      <c r="E7" s="56"/>
      <c r="F7" s="56"/>
      <c r="G7" s="176">
        <v>2026</v>
      </c>
      <c r="H7" s="765"/>
      <c r="I7" s="56"/>
      <c r="J7" s="610" t="s">
        <v>431</v>
      </c>
      <c r="K7" s="805"/>
      <c r="L7" s="56"/>
      <c r="M7" s="47"/>
      <c r="N7" s="814">
        <v>45.47</v>
      </c>
    </row>
    <row r="8" spans="1:14">
      <c r="C8" s="801"/>
      <c r="D8" s="77"/>
      <c r="E8" s="56"/>
      <c r="F8" s="56"/>
      <c r="G8" s="798"/>
      <c r="H8" s="765"/>
      <c r="I8" s="56"/>
      <c r="J8" s="610" t="s">
        <v>430</v>
      </c>
      <c r="K8" s="805"/>
      <c r="L8" s="56"/>
      <c r="M8" s="47"/>
      <c r="N8" s="815">
        <v>46208</v>
      </c>
    </row>
    <row r="9" spans="1:14">
      <c r="C9" s="800" t="s">
        <v>190</v>
      </c>
      <c r="D9" s="199" t="s">
        <v>397</v>
      </c>
      <c r="E9" s="56"/>
      <c r="F9" s="56"/>
      <c r="G9" s="56"/>
      <c r="H9" s="765"/>
      <c r="I9" s="56"/>
      <c r="J9" s="610" t="s">
        <v>234</v>
      </c>
      <c r="K9" s="56"/>
      <c r="L9" s="56"/>
      <c r="M9" s="56"/>
      <c r="N9" s="816">
        <v>920.66399999999999</v>
      </c>
    </row>
    <row r="10" spans="1:14">
      <c r="C10" s="801"/>
      <c r="D10" s="199" t="s">
        <v>398</v>
      </c>
      <c r="E10" s="56"/>
      <c r="F10" s="56"/>
      <c r="G10" s="56"/>
      <c r="H10" s="765"/>
      <c r="I10" s="56"/>
      <c r="J10" s="610" t="s">
        <v>236</v>
      </c>
      <c r="K10" s="56"/>
      <c r="L10" s="56"/>
      <c r="M10" s="56"/>
      <c r="N10" s="814">
        <v>58.49</v>
      </c>
    </row>
    <row r="11" spans="1:14">
      <c r="C11" s="801"/>
      <c r="D11" s="199" t="s">
        <v>399</v>
      </c>
      <c r="E11" s="56"/>
      <c r="F11" s="56"/>
      <c r="G11" s="56"/>
      <c r="H11" s="765"/>
      <c r="I11" s="56"/>
      <c r="J11" s="610" t="s">
        <v>378</v>
      </c>
      <c r="K11" s="56"/>
      <c r="L11" s="56"/>
      <c r="M11" s="56"/>
      <c r="N11" s="817">
        <v>31.757000000000001</v>
      </c>
    </row>
    <row r="12" spans="1:14">
      <c r="C12" s="801"/>
      <c r="D12" s="199" t="s">
        <v>400</v>
      </c>
      <c r="E12" s="56"/>
      <c r="F12" s="56"/>
      <c r="G12" s="56"/>
      <c r="H12" s="765"/>
      <c r="I12" s="56"/>
      <c r="J12" s="610" t="s">
        <v>240</v>
      </c>
      <c r="K12" s="56"/>
      <c r="L12" s="56"/>
      <c r="M12" s="56"/>
      <c r="N12" s="818">
        <v>0.56000000000000005</v>
      </c>
    </row>
    <row r="13" spans="1:14">
      <c r="C13" s="802"/>
      <c r="D13" s="803"/>
      <c r="E13" s="95"/>
      <c r="F13" s="95"/>
      <c r="G13" s="95"/>
      <c r="H13" s="804"/>
      <c r="I13" s="56"/>
      <c r="J13" s="811"/>
      <c r="K13" s="797"/>
      <c r="L13" s="797"/>
      <c r="M13" s="808"/>
      <c r="N13" s="819"/>
    </row>
    <row r="14" spans="1:14"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47"/>
      <c r="N14" s="48"/>
    </row>
    <row r="15" spans="1:14"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47"/>
      <c r="N15" s="48"/>
    </row>
    <row r="16" spans="1:14">
      <c r="A16" s="70"/>
      <c r="B16" s="70"/>
      <c r="C16" s="809" t="s">
        <v>206</v>
      </c>
      <c r="D16" s="807"/>
      <c r="E16" s="807"/>
      <c r="F16" s="807"/>
      <c r="G16" s="807"/>
      <c r="H16" s="812"/>
      <c r="I16" s="56"/>
      <c r="J16" s="809" t="s">
        <v>205</v>
      </c>
      <c r="K16" s="807"/>
      <c r="L16" s="807"/>
      <c r="M16" s="807"/>
      <c r="N16" s="812"/>
    </row>
    <row r="17" spans="1:14" ht="6.75" customHeight="1">
      <c r="C17" s="810"/>
      <c r="D17" s="757"/>
      <c r="E17" s="757"/>
      <c r="F17" s="757"/>
      <c r="G17" s="757"/>
      <c r="H17" s="813"/>
      <c r="I17" s="56"/>
      <c r="J17" s="810"/>
      <c r="K17" s="757"/>
      <c r="L17" s="757"/>
      <c r="M17" s="757"/>
      <c r="N17" s="813"/>
    </row>
    <row r="18" spans="1:14">
      <c r="C18" s="827" t="s">
        <v>190</v>
      </c>
      <c r="D18" s="199" t="s">
        <v>401</v>
      </c>
      <c r="E18" s="56"/>
      <c r="F18" s="56"/>
      <c r="G18" s="56"/>
      <c r="H18" s="830"/>
      <c r="I18" s="56"/>
      <c r="J18" s="835"/>
      <c r="K18" s="56"/>
      <c r="L18" s="56"/>
      <c r="M18" s="56"/>
      <c r="N18" s="830"/>
    </row>
    <row r="19" spans="1:14">
      <c r="C19" s="828" t="s">
        <v>192</v>
      </c>
      <c r="D19" s="820"/>
      <c r="E19" s="821"/>
      <c r="F19" s="822"/>
      <c r="G19" s="821"/>
      <c r="H19" s="831"/>
      <c r="I19" s="56"/>
      <c r="J19" s="836" t="s">
        <v>323</v>
      </c>
      <c r="K19" s="56"/>
      <c r="L19" s="56"/>
      <c r="M19" s="56"/>
      <c r="N19" s="838">
        <f>Scenarios!H11</f>
        <v>0.06</v>
      </c>
    </row>
    <row r="20" spans="1:14" ht="15">
      <c r="A20" s="49"/>
      <c r="B20" s="49"/>
      <c r="C20" s="610" t="s">
        <v>193</v>
      </c>
      <c r="D20" s="56"/>
      <c r="E20" s="823" t="s">
        <v>194</v>
      </c>
      <c r="F20" s="79"/>
      <c r="G20" s="79"/>
      <c r="H20" s="832"/>
      <c r="I20" s="56"/>
      <c r="J20" s="837" t="s">
        <v>584</v>
      </c>
      <c r="K20" s="56"/>
      <c r="L20" s="56"/>
      <c r="M20" s="56"/>
      <c r="N20" s="839">
        <f>Scenarios!H14</f>
        <v>-4.0000000000000002E-4</v>
      </c>
    </row>
    <row r="21" spans="1:14">
      <c r="C21" s="610" t="s">
        <v>195</v>
      </c>
      <c r="D21" s="56"/>
      <c r="E21" s="56"/>
      <c r="F21" s="824">
        <v>0.02</v>
      </c>
      <c r="G21" s="79"/>
      <c r="H21" s="833" t="s">
        <v>196</v>
      </c>
      <c r="I21" s="56"/>
      <c r="J21" s="610" t="s">
        <v>325</v>
      </c>
      <c r="K21" s="56"/>
      <c r="L21" s="56"/>
      <c r="M21" s="56"/>
      <c r="N21" s="838">
        <f>Scenarios!H20</f>
        <v>0.04</v>
      </c>
    </row>
    <row r="22" spans="1:14">
      <c r="C22" s="829" t="s">
        <v>197</v>
      </c>
      <c r="D22" s="797"/>
      <c r="E22" s="797"/>
      <c r="F22" s="825">
        <v>-0.02</v>
      </c>
      <c r="G22" s="826"/>
      <c r="H22" s="834" t="s">
        <v>196</v>
      </c>
      <c r="I22" s="56"/>
      <c r="J22" s="811"/>
      <c r="K22" s="797"/>
      <c r="L22" s="797"/>
      <c r="M22" s="797"/>
      <c r="N22" s="840"/>
    </row>
    <row r="23" spans="1:14"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</row>
    <row r="24" spans="1:14">
      <c r="C24" s="56"/>
      <c r="D24" s="56"/>
      <c r="E24" s="56"/>
      <c r="F24" s="56"/>
      <c r="G24" s="56"/>
      <c r="H24" s="56"/>
      <c r="I24" s="77"/>
      <c r="J24" s="56"/>
      <c r="K24" s="56"/>
      <c r="L24" s="56"/>
      <c r="M24" s="56"/>
      <c r="N24" s="56"/>
    </row>
    <row r="25" spans="1:14">
      <c r="A25" s="70"/>
      <c r="B25" s="70"/>
      <c r="C25" s="809" t="s">
        <v>198</v>
      </c>
      <c r="D25" s="807"/>
      <c r="E25" s="807"/>
      <c r="F25" s="807"/>
      <c r="G25" s="807"/>
      <c r="H25" s="812"/>
      <c r="I25" s="56"/>
      <c r="J25" s="809" t="s">
        <v>199</v>
      </c>
      <c r="K25" s="807"/>
      <c r="L25" s="807"/>
      <c r="M25" s="807"/>
      <c r="N25" s="812"/>
    </row>
    <row r="26" spans="1:14" ht="6.75" customHeight="1">
      <c r="C26" s="810"/>
      <c r="D26" s="757"/>
      <c r="E26" s="757"/>
      <c r="F26" s="757"/>
      <c r="G26" s="757"/>
      <c r="H26" s="813"/>
      <c r="I26" s="56"/>
      <c r="J26" s="810"/>
      <c r="K26" s="757"/>
      <c r="L26" s="757"/>
      <c r="M26" s="757"/>
      <c r="N26" s="813"/>
    </row>
    <row r="27" spans="1:14">
      <c r="C27" s="828" t="s">
        <v>208</v>
      </c>
      <c r="D27" s="78"/>
      <c r="E27" s="7"/>
      <c r="F27" s="56"/>
      <c r="G27" s="7"/>
      <c r="H27" s="830"/>
      <c r="I27" s="56"/>
      <c r="J27" s="852"/>
      <c r="K27" s="56"/>
      <c r="L27" s="56"/>
      <c r="M27" s="56"/>
      <c r="N27" s="830"/>
    </row>
    <row r="28" spans="1:14">
      <c r="C28" s="846" t="s">
        <v>211</v>
      </c>
      <c r="D28" s="78"/>
      <c r="E28" s="841"/>
      <c r="F28" s="200" t="s">
        <v>209</v>
      </c>
      <c r="G28" s="56"/>
      <c r="H28" s="839">
        <f>Scenarios!H26</f>
        <v>8.8999999999999999E-3</v>
      </c>
      <c r="I28" s="56"/>
      <c r="J28" s="853" t="s">
        <v>200</v>
      </c>
      <c r="K28" s="56"/>
      <c r="L28" s="56"/>
      <c r="M28" s="851"/>
      <c r="N28" s="849">
        <v>0.03</v>
      </c>
    </row>
    <row r="29" spans="1:14">
      <c r="C29" s="846" t="s">
        <v>212</v>
      </c>
      <c r="D29" s="78"/>
      <c r="E29" s="841"/>
      <c r="F29" s="200" t="s">
        <v>209</v>
      </c>
      <c r="G29" s="56"/>
      <c r="H29" s="848">
        <f>Scenarios!H32</f>
        <v>9.6000000000000002E-4</v>
      </c>
      <c r="I29" s="56"/>
      <c r="J29" s="854" t="s">
        <v>201</v>
      </c>
      <c r="K29" s="56"/>
      <c r="L29" s="56"/>
      <c r="M29" s="56"/>
      <c r="N29" s="855"/>
    </row>
    <row r="30" spans="1:14">
      <c r="C30" s="846" t="s">
        <v>213</v>
      </c>
      <c r="D30" s="77"/>
      <c r="E30" s="841"/>
      <c r="F30" s="200" t="s">
        <v>218</v>
      </c>
      <c r="G30" s="56"/>
      <c r="H30" s="849">
        <v>5.0999999999999997E-2</v>
      </c>
      <c r="I30" s="56"/>
      <c r="J30" s="854" t="s">
        <v>202</v>
      </c>
      <c r="K30" s="56"/>
      <c r="L30" s="56"/>
      <c r="M30" s="56"/>
      <c r="N30" s="849">
        <v>3.9E-2</v>
      </c>
    </row>
    <row r="31" spans="1:14">
      <c r="C31" s="846" t="s">
        <v>215</v>
      </c>
      <c r="D31" s="77"/>
      <c r="E31" s="841"/>
      <c r="F31" s="200" t="s">
        <v>218</v>
      </c>
      <c r="G31" s="56"/>
      <c r="H31" s="849">
        <v>6.9000000000000006E-2</v>
      </c>
      <c r="I31" s="56"/>
      <c r="J31" s="610" t="s">
        <v>585</v>
      </c>
      <c r="K31" s="56"/>
      <c r="L31" s="56"/>
      <c r="M31" s="56"/>
      <c r="N31" s="856">
        <v>3.2000000000000001E-2</v>
      </c>
    </row>
    <row r="32" spans="1:14">
      <c r="C32" s="846" t="s">
        <v>583</v>
      </c>
      <c r="D32" s="77"/>
      <c r="E32" s="841"/>
      <c r="F32" s="200" t="s">
        <v>210</v>
      </c>
      <c r="G32" s="56"/>
      <c r="H32" s="838">
        <f>Scenarios!H38</f>
        <v>0.03</v>
      </c>
      <c r="I32" s="56"/>
      <c r="J32" s="610" t="s">
        <v>458</v>
      </c>
      <c r="K32" s="56"/>
      <c r="L32" s="56"/>
      <c r="M32" s="56"/>
      <c r="N32" s="849">
        <v>0.03</v>
      </c>
    </row>
    <row r="33" spans="1:14">
      <c r="C33" s="846" t="s">
        <v>216</v>
      </c>
      <c r="D33" s="77"/>
      <c r="E33" s="841"/>
      <c r="F33" s="200" t="s">
        <v>210</v>
      </c>
      <c r="G33" s="56"/>
      <c r="H33" s="849">
        <v>0.02</v>
      </c>
      <c r="I33" s="56"/>
      <c r="J33" s="835"/>
      <c r="K33" s="56"/>
      <c r="L33" s="56"/>
      <c r="M33" s="56"/>
      <c r="N33" s="830"/>
    </row>
    <row r="34" spans="1:14">
      <c r="C34" s="847" t="s">
        <v>217</v>
      </c>
      <c r="D34" s="843"/>
      <c r="E34" s="844"/>
      <c r="F34" s="845" t="s">
        <v>218</v>
      </c>
      <c r="G34" s="797"/>
      <c r="H34" s="850">
        <v>3.4000000000000002E-2</v>
      </c>
      <c r="I34" s="56"/>
      <c r="J34" s="811"/>
      <c r="K34" s="797"/>
      <c r="L34" s="797"/>
      <c r="M34" s="797"/>
      <c r="N34" s="840"/>
    </row>
    <row r="35" spans="1:14"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</row>
    <row r="36" spans="1:14"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</row>
    <row r="37" spans="1:14">
      <c r="A37" s="70"/>
      <c r="B37" s="70"/>
      <c r="C37" s="809" t="s">
        <v>219</v>
      </c>
      <c r="D37" s="861"/>
      <c r="E37" s="861"/>
      <c r="F37" s="861"/>
      <c r="G37" s="861"/>
      <c r="H37" s="865"/>
      <c r="I37" s="56"/>
      <c r="J37" s="809" t="s">
        <v>203</v>
      </c>
      <c r="K37" s="861"/>
      <c r="L37" s="861"/>
      <c r="M37" s="861"/>
      <c r="N37" s="865"/>
    </row>
    <row r="38" spans="1:14" ht="6.75" customHeight="1">
      <c r="C38" s="810"/>
      <c r="D38" s="757"/>
      <c r="E38" s="757"/>
      <c r="F38" s="757"/>
      <c r="G38" s="757"/>
      <c r="H38" s="813"/>
      <c r="I38" s="56"/>
      <c r="J38" s="810"/>
      <c r="K38" s="757"/>
      <c r="L38" s="757"/>
      <c r="M38" s="757"/>
      <c r="N38" s="813"/>
    </row>
    <row r="39" spans="1:14">
      <c r="C39" s="846" t="s">
        <v>220</v>
      </c>
      <c r="D39" s="78"/>
      <c r="E39" s="56"/>
      <c r="F39" s="200" t="s">
        <v>218</v>
      </c>
      <c r="G39" s="56"/>
      <c r="H39" s="866">
        <v>2.4E-2</v>
      </c>
      <c r="I39" s="56"/>
      <c r="J39" s="836" t="s">
        <v>204</v>
      </c>
      <c r="K39" s="56"/>
      <c r="L39" s="56"/>
      <c r="M39" s="56"/>
      <c r="N39" s="868">
        <v>0.21</v>
      </c>
    </row>
    <row r="40" spans="1:14">
      <c r="C40" s="955" t="s">
        <v>221</v>
      </c>
      <c r="D40" s="862"/>
      <c r="E40" s="95"/>
      <c r="F40" s="842" t="s">
        <v>222</v>
      </c>
      <c r="G40" s="95"/>
      <c r="H40" s="956"/>
      <c r="I40" s="56"/>
      <c r="J40" s="957"/>
      <c r="K40" s="95"/>
      <c r="L40" s="95"/>
      <c r="M40" s="95"/>
      <c r="N40" s="958"/>
    </row>
    <row r="41" spans="1:14">
      <c r="C41" s="857"/>
      <c r="D41" s="858"/>
      <c r="E41" s="56"/>
      <c r="F41" s="80"/>
      <c r="G41" s="56"/>
      <c r="H41" s="859"/>
      <c r="I41" s="56"/>
      <c r="J41" s="78"/>
      <c r="K41" s="56"/>
      <c r="L41" s="56"/>
      <c r="M41" s="56"/>
      <c r="N41" s="867"/>
    </row>
    <row r="42" spans="1:14">
      <c r="C42" s="799" t="s">
        <v>227</v>
      </c>
      <c r="D42" s="762"/>
      <c r="E42" s="762"/>
      <c r="F42" s="762"/>
      <c r="G42" s="762"/>
      <c r="H42" s="766"/>
      <c r="I42" s="56"/>
      <c r="J42" s="959" t="s">
        <v>596</v>
      </c>
      <c r="K42" s="860"/>
      <c r="L42" s="860"/>
      <c r="M42" s="860"/>
      <c r="N42" s="960"/>
    </row>
    <row r="43" spans="1:14" ht="6.75" customHeight="1">
      <c r="C43" s="810"/>
      <c r="D43" s="757"/>
      <c r="E43" s="757"/>
      <c r="F43" s="757"/>
      <c r="G43" s="757"/>
      <c r="H43" s="813"/>
      <c r="I43" s="56"/>
      <c r="J43" s="810"/>
      <c r="K43" s="757"/>
      <c r="L43" s="757"/>
      <c r="M43" s="757"/>
      <c r="N43" s="813"/>
    </row>
    <row r="44" spans="1:14">
      <c r="C44" s="828" t="s">
        <v>228</v>
      </c>
      <c r="D44" s="78"/>
      <c r="E44" s="7"/>
      <c r="F44" s="56"/>
      <c r="G44" s="7"/>
      <c r="H44" s="830"/>
      <c r="I44" s="56"/>
      <c r="J44" s="871" t="s">
        <v>346</v>
      </c>
      <c r="K44" s="56"/>
      <c r="L44" s="56"/>
      <c r="M44" s="56"/>
      <c r="N44" s="874" t="s">
        <v>0</v>
      </c>
    </row>
    <row r="45" spans="1:14">
      <c r="C45" s="869"/>
      <c r="D45" s="199">
        <v>2026</v>
      </c>
      <c r="E45" s="841"/>
      <c r="F45" s="200" t="s">
        <v>551</v>
      </c>
      <c r="G45" s="56"/>
      <c r="H45" s="870">
        <v>1397</v>
      </c>
      <c r="I45" s="56"/>
      <c r="J45" s="872"/>
      <c r="K45" s="56"/>
      <c r="L45" s="56"/>
      <c r="M45" s="851"/>
      <c r="N45" s="855"/>
    </row>
    <row r="46" spans="1:14">
      <c r="C46" s="869"/>
      <c r="D46" s="199">
        <v>2027</v>
      </c>
      <c r="E46" s="841"/>
      <c r="F46" s="200" t="s">
        <v>551</v>
      </c>
      <c r="G46" s="56"/>
      <c r="H46" s="870">
        <v>1075</v>
      </c>
      <c r="I46" s="56"/>
      <c r="J46" s="873" t="s">
        <v>554</v>
      </c>
      <c r="K46" s="56"/>
      <c r="L46" s="56"/>
      <c r="M46" s="56"/>
      <c r="N46" s="855"/>
    </row>
    <row r="47" spans="1:14">
      <c r="C47" s="869"/>
      <c r="D47" s="199">
        <v>2028</v>
      </c>
      <c r="E47" s="841"/>
      <c r="F47" s="200" t="s">
        <v>551</v>
      </c>
      <c r="G47" s="56"/>
      <c r="H47" s="870">
        <v>1137</v>
      </c>
      <c r="I47" s="56"/>
      <c r="J47" s="854" t="s">
        <v>552</v>
      </c>
      <c r="K47" s="56"/>
      <c r="L47" s="56"/>
      <c r="M47" s="56"/>
      <c r="N47" s="855"/>
    </row>
    <row r="48" spans="1:14">
      <c r="C48" s="869"/>
      <c r="D48" s="199">
        <v>2029</v>
      </c>
      <c r="E48" s="841"/>
      <c r="F48" s="200" t="s">
        <v>551</v>
      </c>
      <c r="G48" s="56"/>
      <c r="H48" s="870">
        <v>1500</v>
      </c>
      <c r="I48" s="56"/>
      <c r="J48" s="610" t="s">
        <v>553</v>
      </c>
      <c r="K48" s="56"/>
      <c r="L48" s="56"/>
      <c r="M48" s="56"/>
      <c r="N48" s="875"/>
    </row>
    <row r="49" spans="1:36">
      <c r="C49" s="869"/>
      <c r="D49" s="199">
        <v>2030</v>
      </c>
      <c r="E49" s="841"/>
      <c r="F49" s="200" t="s">
        <v>551</v>
      </c>
      <c r="G49" s="56"/>
      <c r="H49" s="870">
        <v>1000</v>
      </c>
      <c r="I49" s="56"/>
      <c r="J49" s="610" t="s">
        <v>555</v>
      </c>
      <c r="K49" s="56"/>
      <c r="L49" s="56"/>
      <c r="M49" s="56"/>
      <c r="N49" s="849"/>
    </row>
    <row r="50" spans="1:36">
      <c r="C50" s="864"/>
      <c r="D50" s="843"/>
      <c r="E50" s="844"/>
      <c r="F50" s="863"/>
      <c r="G50" s="797"/>
      <c r="H50" s="840"/>
      <c r="I50" s="56"/>
      <c r="J50" s="811"/>
      <c r="K50" s="797"/>
      <c r="L50" s="797"/>
      <c r="M50" s="797"/>
      <c r="N50" s="876"/>
    </row>
    <row r="51" spans="1:36">
      <c r="C51" s="63"/>
      <c r="D51" s="71"/>
      <c r="E51" s="60"/>
      <c r="F51" s="60"/>
      <c r="G51" s="60"/>
      <c r="H51" s="60"/>
      <c r="I51" s="63"/>
      <c r="J51" s="95"/>
      <c r="K51" s="95"/>
      <c r="L51" s="95"/>
      <c r="M51" s="95"/>
      <c r="N51" s="95"/>
    </row>
    <row r="53" spans="1:36" s="1" customFormat="1" ht="14.4">
      <c r="A53" s="55"/>
      <c r="B53" s="55"/>
      <c r="C53" s="642"/>
      <c r="D53" s="55"/>
      <c r="E53" s="55"/>
      <c r="F53" s="55"/>
      <c r="G53" s="55"/>
      <c r="H53" s="55"/>
      <c r="I53" s="55"/>
      <c r="J53" s="643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</row>
    <row r="54" spans="1:36" s="154" customFormat="1" ht="14.4">
      <c r="A54" s="70"/>
      <c r="B54" s="70"/>
      <c r="C54" s="809" t="s">
        <v>417</v>
      </c>
      <c r="D54" s="889"/>
      <c r="E54" s="889"/>
      <c r="F54" s="889"/>
      <c r="G54" s="889"/>
      <c r="H54" s="806">
        <v>2024</v>
      </c>
      <c r="I54" s="806">
        <f t="shared" ref="I54:N54" si="0">H54+1</f>
        <v>2025</v>
      </c>
      <c r="J54" s="806">
        <f>I54+1</f>
        <v>2026</v>
      </c>
      <c r="K54" s="806">
        <f t="shared" si="0"/>
        <v>2027</v>
      </c>
      <c r="L54" s="806">
        <f t="shared" si="0"/>
        <v>2028</v>
      </c>
      <c r="M54" s="806">
        <f t="shared" si="0"/>
        <v>2029</v>
      </c>
      <c r="N54" s="896">
        <f t="shared" si="0"/>
        <v>2030</v>
      </c>
      <c r="O54" s="70"/>
      <c r="P54" s="156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</row>
    <row r="55" spans="1:36" ht="6.75" customHeight="1">
      <c r="C55" s="810"/>
      <c r="D55" s="778"/>
      <c r="E55" s="778"/>
      <c r="F55" s="778"/>
      <c r="G55" s="778"/>
      <c r="H55" s="778"/>
      <c r="I55" s="778"/>
      <c r="J55" s="778"/>
      <c r="K55" s="778"/>
      <c r="L55" s="778"/>
      <c r="M55" s="778"/>
      <c r="N55" s="897"/>
      <c r="O55" s="155"/>
    </row>
    <row r="56" spans="1:36" s="1" customFormat="1" ht="8.1" customHeight="1">
      <c r="A56" s="55"/>
      <c r="B56" s="55"/>
      <c r="C56" s="892"/>
      <c r="D56" s="55"/>
      <c r="E56" s="55"/>
      <c r="F56" s="55"/>
      <c r="G56" s="55"/>
      <c r="H56" s="55"/>
      <c r="I56" s="55"/>
      <c r="J56" s="55"/>
      <c r="K56" s="55"/>
      <c r="L56" s="643"/>
      <c r="M56" s="55"/>
      <c r="N56" s="898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</row>
    <row r="57" spans="1:36" s="1" customFormat="1" ht="14.4">
      <c r="A57" s="55"/>
      <c r="B57" s="55"/>
      <c r="C57" s="893" t="s">
        <v>324</v>
      </c>
      <c r="D57" s="56"/>
      <c r="E57" s="56"/>
      <c r="F57" s="56"/>
      <c r="G57" s="125" t="s">
        <v>210</v>
      </c>
      <c r="H57" s="56"/>
      <c r="I57" s="56"/>
      <c r="J57" s="877">
        <v>-4.0000000000000002E-4</v>
      </c>
      <c r="K57" s="877">
        <v>-2.9999999999999997E-4</v>
      </c>
      <c r="L57" s="877">
        <v>-2.0000000000000001E-4</v>
      </c>
      <c r="M57" s="877">
        <v>-1E-4</v>
      </c>
      <c r="N57" s="899">
        <v>-1E-4</v>
      </c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</row>
    <row r="58" spans="1:36" s="1" customFormat="1" ht="14.4">
      <c r="A58" s="55"/>
      <c r="B58" s="55"/>
      <c r="C58" s="835"/>
      <c r="D58" s="56"/>
      <c r="E58" s="56"/>
      <c r="F58" s="56"/>
      <c r="G58" s="56"/>
      <c r="H58" s="56"/>
      <c r="I58" s="56"/>
      <c r="J58" s="56"/>
      <c r="K58" s="56"/>
      <c r="L58" s="878"/>
      <c r="M58" s="56"/>
      <c r="N58" s="830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</row>
    <row r="59" spans="1:36" s="1" customFormat="1" ht="14.4">
      <c r="A59" s="55"/>
      <c r="B59" s="55"/>
      <c r="C59" s="893" t="s">
        <v>220</v>
      </c>
      <c r="D59" s="56"/>
      <c r="E59" s="56"/>
      <c r="F59" s="56"/>
      <c r="G59" s="125" t="s">
        <v>412</v>
      </c>
      <c r="H59" s="56"/>
      <c r="I59" s="56"/>
      <c r="J59" s="879">
        <f>$H$39*'Revenue Build'!H11</f>
        <v>823.57646592000003</v>
      </c>
      <c r="K59" s="879">
        <f>$H$39*'Revenue Build'!I11</f>
        <v>856.53332789759986</v>
      </c>
      <c r="L59" s="879">
        <f>$H$39*'Revenue Build'!J11</f>
        <v>895.64534299852789</v>
      </c>
      <c r="M59" s="879">
        <f>$H$39*'Revenue Build'!K11</f>
        <v>941.84115324240395</v>
      </c>
      <c r="N59" s="900">
        <f>$H$39*'Revenue Build'!L11</f>
        <v>990.40814055982946</v>
      </c>
      <c r="O59" s="55"/>
      <c r="P59" s="157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</row>
    <row r="60" spans="1:36" s="1" customFormat="1" ht="6" customHeight="1">
      <c r="A60" s="55"/>
      <c r="B60" s="55"/>
      <c r="C60" s="835"/>
      <c r="D60" s="56"/>
      <c r="E60" s="56"/>
      <c r="F60" s="56"/>
      <c r="G60" s="56"/>
      <c r="H60" s="56"/>
      <c r="I60" s="56"/>
      <c r="J60" s="389"/>
      <c r="K60" s="389"/>
      <c r="L60" s="880"/>
      <c r="M60" s="389"/>
      <c r="N60" s="901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</row>
    <row r="61" spans="1:36" s="1" customFormat="1" ht="14.4">
      <c r="A61" s="55"/>
      <c r="B61" s="55"/>
      <c r="C61" s="893" t="s">
        <v>416</v>
      </c>
      <c r="D61" s="56"/>
      <c r="E61" s="56"/>
      <c r="F61" s="56"/>
      <c r="G61" s="56"/>
      <c r="H61" s="56"/>
      <c r="I61" s="56"/>
      <c r="J61" s="389"/>
      <c r="K61" s="389"/>
      <c r="L61" s="880"/>
      <c r="M61" s="389"/>
      <c r="N61" s="901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spans="1:36" s="1" customFormat="1" ht="14.4">
      <c r="A62" s="55"/>
      <c r="B62" s="55"/>
      <c r="C62" s="835"/>
      <c r="D62" s="125" t="s">
        <v>415</v>
      </c>
      <c r="E62" s="56"/>
      <c r="F62" s="56"/>
      <c r="G62" s="125" t="s">
        <v>412</v>
      </c>
      <c r="H62" s="881">
        <f>231/$N$39</f>
        <v>1100</v>
      </c>
      <c r="I62" s="881">
        <f>217/$N$39</f>
        <v>1033.3333333333335</v>
      </c>
      <c r="J62" s="882">
        <f>J65/$N$39</f>
        <v>1144.4046513684398</v>
      </c>
      <c r="K62" s="882">
        <f>K65/$N$39</f>
        <v>759.74867755657772</v>
      </c>
      <c r="L62" s="882">
        <f>L65/$N$39</f>
        <v>504.38282679011439</v>
      </c>
      <c r="M62" s="882">
        <f>M65/$N$39</f>
        <v>334.85025176873893</v>
      </c>
      <c r="N62" s="902">
        <f>N65/$N$39</f>
        <v>222.30077067283966</v>
      </c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spans="1:36" s="1" customFormat="1" ht="15" customHeight="1">
      <c r="A63" s="55"/>
      <c r="B63" s="55"/>
      <c r="C63" s="835"/>
      <c r="D63" s="125" t="s">
        <v>418</v>
      </c>
      <c r="E63" s="56"/>
      <c r="F63" s="56"/>
      <c r="G63" s="125" t="s">
        <v>412</v>
      </c>
      <c r="H63" s="883">
        <v>1077</v>
      </c>
      <c r="I63" s="883">
        <v>715</v>
      </c>
      <c r="J63" s="882">
        <f>I63*(1-$I$64)</f>
        <v>474.67502321262765</v>
      </c>
      <c r="K63" s="882">
        <f>J63*(1-$I$64)</f>
        <v>315.12780092574633</v>
      </c>
      <c r="L63" s="884">
        <f>K63*(1-$I$64)</f>
        <v>209.20740729982231</v>
      </c>
      <c r="M63" s="882">
        <f>L63*(1-$I$64)</f>
        <v>138.88885442838713</v>
      </c>
      <c r="N63" s="902">
        <f>M63*(1-$I$64)</f>
        <v>92.205692587090809</v>
      </c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spans="1:36" s="1" customFormat="1" ht="15" customHeight="1">
      <c r="A64" s="55"/>
      <c r="B64" s="55"/>
      <c r="C64" s="835"/>
      <c r="D64" s="125" t="s">
        <v>419</v>
      </c>
      <c r="E64" s="56"/>
      <c r="F64" s="56"/>
      <c r="G64" s="56"/>
      <c r="H64" s="883"/>
      <c r="I64" s="513">
        <f>(H63-I63)/H63</f>
        <v>0.33611884865366759</v>
      </c>
      <c r="J64" s="885"/>
      <c r="K64" s="885"/>
      <c r="L64" s="886"/>
      <c r="M64" s="885"/>
      <c r="N64" s="903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spans="1:36" s="1" customFormat="1" ht="15" customHeight="1">
      <c r="A65" s="55"/>
      <c r="B65" s="55"/>
      <c r="C65" s="835"/>
      <c r="D65" s="125" t="s">
        <v>420</v>
      </c>
      <c r="E65" s="56"/>
      <c r="F65" s="56"/>
      <c r="G65" s="125" t="s">
        <v>412</v>
      </c>
      <c r="H65" s="883"/>
      <c r="I65" s="883"/>
      <c r="J65" s="882">
        <f>I63-J63</f>
        <v>240.32497678737235</v>
      </c>
      <c r="K65" s="882">
        <f>J63-K63</f>
        <v>159.54722228688132</v>
      </c>
      <c r="L65" s="884">
        <f>K63-L63</f>
        <v>105.92039362592402</v>
      </c>
      <c r="M65" s="882">
        <f>L63-M63</f>
        <v>70.318552871435173</v>
      </c>
      <c r="N65" s="902">
        <f>M63-N63</f>
        <v>46.683161841296325</v>
      </c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spans="1:36" s="1" customFormat="1" ht="15" customHeight="1">
      <c r="A66" s="55"/>
      <c r="B66" s="55"/>
      <c r="C66" s="835"/>
      <c r="D66" s="56"/>
      <c r="E66" s="56"/>
      <c r="F66" s="56"/>
      <c r="G66" s="56"/>
      <c r="H66" s="883"/>
      <c r="I66" s="883"/>
      <c r="J66" s="882"/>
      <c r="K66" s="882"/>
      <c r="L66" s="884"/>
      <c r="M66" s="882"/>
      <c r="N66" s="902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spans="1:36" s="1" customFormat="1" ht="14.4">
      <c r="A67" s="55"/>
      <c r="B67" s="55"/>
      <c r="C67" s="893" t="s">
        <v>414</v>
      </c>
      <c r="D67" s="56"/>
      <c r="E67" s="56"/>
      <c r="F67" s="56"/>
      <c r="G67" s="56"/>
      <c r="H67" s="56"/>
      <c r="I67" s="56"/>
      <c r="J67" s="389"/>
      <c r="K67" s="389"/>
      <c r="L67" s="880"/>
      <c r="M67" s="389"/>
      <c r="N67" s="901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spans="1:36" s="1" customFormat="1" ht="14.4">
      <c r="A68" s="55"/>
      <c r="B68" s="55"/>
      <c r="C68" s="835"/>
      <c r="D68" s="125" t="s">
        <v>406</v>
      </c>
      <c r="E68" s="56"/>
      <c r="F68" s="56"/>
      <c r="G68" s="125" t="s">
        <v>413</v>
      </c>
      <c r="H68" s="887">
        <v>11.3</v>
      </c>
      <c r="I68" s="887">
        <v>9.1999999999999993</v>
      </c>
      <c r="J68" s="888">
        <f>I68</f>
        <v>9.1999999999999993</v>
      </c>
      <c r="K68" s="125">
        <f t="shared" ref="K68:N68" si="1">J68</f>
        <v>9.1999999999999993</v>
      </c>
      <c r="L68" s="125">
        <f t="shared" si="1"/>
        <v>9.1999999999999993</v>
      </c>
      <c r="M68" s="888">
        <f t="shared" si="1"/>
        <v>9.1999999999999993</v>
      </c>
      <c r="N68" s="904">
        <f t="shared" si="1"/>
        <v>9.1999999999999993</v>
      </c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spans="1:36" s="1" customFormat="1" ht="14.4">
      <c r="A69" s="55"/>
      <c r="B69" s="55"/>
      <c r="C69" s="852"/>
      <c r="D69" s="125" t="s">
        <v>407</v>
      </c>
      <c r="E69" s="56"/>
      <c r="F69" s="56"/>
      <c r="G69" s="125" t="s">
        <v>413</v>
      </c>
      <c r="H69" s="887">
        <v>32.200000000000003</v>
      </c>
      <c r="I69" s="887">
        <v>34.4</v>
      </c>
      <c r="J69" s="888">
        <f>I69</f>
        <v>34.4</v>
      </c>
      <c r="K69" s="125">
        <f t="shared" ref="K69:N69" si="2">J69</f>
        <v>34.4</v>
      </c>
      <c r="L69" s="125">
        <f t="shared" si="2"/>
        <v>34.4</v>
      </c>
      <c r="M69" s="888">
        <f t="shared" si="2"/>
        <v>34.4</v>
      </c>
      <c r="N69" s="904">
        <f t="shared" si="2"/>
        <v>34.4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spans="1:36" s="1" customFormat="1" ht="14.4">
      <c r="A70" s="55"/>
      <c r="B70" s="55"/>
      <c r="C70" s="894"/>
      <c r="D70" s="125" t="s">
        <v>114</v>
      </c>
      <c r="E70" s="56"/>
      <c r="F70" s="56"/>
      <c r="G70" s="125" t="s">
        <v>413</v>
      </c>
      <c r="H70" s="887">
        <v>4.4000000000000004</v>
      </c>
      <c r="I70" s="887">
        <v>4.5</v>
      </c>
      <c r="J70" s="888">
        <f>I70</f>
        <v>4.5</v>
      </c>
      <c r="K70" s="125">
        <f t="shared" ref="K70:N70" si="3">J70</f>
        <v>4.5</v>
      </c>
      <c r="L70" s="125">
        <f t="shared" si="3"/>
        <v>4.5</v>
      </c>
      <c r="M70" s="888">
        <f t="shared" si="3"/>
        <v>4.5</v>
      </c>
      <c r="N70" s="904">
        <f t="shared" si="3"/>
        <v>4.5</v>
      </c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spans="1:36" s="1" customFormat="1" ht="14.4">
      <c r="A71" s="55"/>
      <c r="B71" s="55"/>
      <c r="C71" s="894"/>
      <c r="D71" s="125" t="s">
        <v>408</v>
      </c>
      <c r="E71" s="56"/>
      <c r="F71" s="56"/>
      <c r="G71" s="125" t="s">
        <v>413</v>
      </c>
      <c r="H71" s="887">
        <v>85.2</v>
      </c>
      <c r="I71" s="887">
        <v>86.7</v>
      </c>
      <c r="J71" s="888">
        <f>I71</f>
        <v>86.7</v>
      </c>
      <c r="K71" s="888">
        <f t="shared" ref="K71:N71" si="4">J71</f>
        <v>86.7</v>
      </c>
      <c r="L71" s="888">
        <f t="shared" si="4"/>
        <v>86.7</v>
      </c>
      <c r="M71" s="888">
        <f t="shared" si="4"/>
        <v>86.7</v>
      </c>
      <c r="N71" s="904">
        <f t="shared" si="4"/>
        <v>86.7</v>
      </c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spans="1:36" s="1" customFormat="1" ht="14.4">
      <c r="A72" s="55"/>
      <c r="B72" s="55"/>
      <c r="C72" s="894"/>
      <c r="D72" s="125"/>
      <c r="E72" s="56"/>
      <c r="F72" s="56"/>
      <c r="G72" s="125"/>
      <c r="H72" s="887"/>
      <c r="I72" s="887"/>
      <c r="J72" s="888"/>
      <c r="K72" s="888"/>
      <c r="L72" s="888"/>
      <c r="M72" s="888"/>
      <c r="N72" s="904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spans="1:36" s="1" customFormat="1" ht="14.4">
      <c r="A73" s="55"/>
      <c r="B73" s="55"/>
      <c r="C73" s="893" t="s">
        <v>597</v>
      </c>
      <c r="D73" s="125"/>
      <c r="E73" s="56"/>
      <c r="F73" s="56"/>
      <c r="G73" s="125" t="s">
        <v>412</v>
      </c>
      <c r="H73" s="887"/>
      <c r="I73" s="887"/>
      <c r="J73" s="887">
        <v>33734</v>
      </c>
      <c r="K73" s="888"/>
      <c r="L73" s="888"/>
      <c r="M73" s="888"/>
      <c r="N73" s="904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spans="1:36" s="1" customFormat="1" ht="14.4">
      <c r="A74" s="55"/>
      <c r="B74" s="55"/>
      <c r="C74" s="895" t="s">
        <v>30</v>
      </c>
      <c r="D74" s="748"/>
      <c r="E74" s="797"/>
      <c r="F74" s="797"/>
      <c r="G74" s="748" t="s">
        <v>412</v>
      </c>
      <c r="H74" s="890"/>
      <c r="I74" s="890"/>
      <c r="J74" s="890">
        <v>6752</v>
      </c>
      <c r="K74" s="891"/>
      <c r="L74" s="891"/>
      <c r="M74" s="891"/>
      <c r="N74" s="90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spans="1:36" s="1" customFormat="1" ht="14.4">
      <c r="A75" s="55"/>
      <c r="B75" s="55"/>
      <c r="C75" s="694"/>
      <c r="D75" s="644"/>
      <c r="E75" s="644"/>
      <c r="F75" s="644"/>
      <c r="G75" s="644"/>
      <c r="H75" s="644"/>
      <c r="I75" s="644"/>
      <c r="J75" s="158"/>
      <c r="K75" s="158"/>
      <c r="L75" s="158"/>
      <c r="M75" s="158"/>
      <c r="N75" s="159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spans="1:36"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</row>
  </sheetData>
  <dataValidations count="1">
    <dataValidation type="list" allowBlank="1" showInputMessage="1" showErrorMessage="1" sqref="N44" xr:uid="{73A7DCCA-3488-459F-9E1B-E4957FF5F186}">
      <formula1>"ON,OFF"</formula1>
    </dataValidation>
  </dataValidations>
  <printOptions horizontalCentered="1"/>
  <pageMargins left="0.7" right="0.7" top="0.75" bottom="0.75" header="0.3" footer="0.3"/>
  <pageSetup scale="89" fitToHeight="0" orientation="landscape" r:id="rId1"/>
  <headerFooter differentOddEven="1">
    <oddFooter>&amp;L&amp;"Arial"&amp;8Tyler Spencer&amp;C&amp;"Arial"&amp;8&amp;INot associated with PayPal. For educational purposes only.&amp;R&amp;"Arial"&amp;8Page &amp;P</oddFooter>
    <evenFooter>&amp;L&amp;"Arial"&amp;8Tyler Spencer&amp;C&amp;"Arial"&amp;8&amp;INot associated with PayPal. For educational purposes only.&amp;R&amp;"Arial"&amp;8Page &amp;P</evenFooter>
  </headerFooter>
  <rowBreaks count="1" manualBreakCount="1">
    <brk id="40" max="1638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1211D-ED28-41AA-8369-A0E5A6F508F4}">
  <sheetPr>
    <pageSetUpPr fitToPage="1"/>
  </sheetPr>
  <dimension ref="B1:M59"/>
  <sheetViews>
    <sheetView workbookViewId="0">
      <selection activeCell="I9" sqref="I9"/>
    </sheetView>
  </sheetViews>
  <sheetFormatPr defaultColWidth="9.109375" defaultRowHeight="13.8"/>
  <cols>
    <col min="1" max="1" width="2" style="55" customWidth="1"/>
    <col min="2" max="2" width="20.6640625" style="55" bestFit="1" customWidth="1"/>
    <col min="3" max="3" width="9" style="55" customWidth="1"/>
    <col min="4" max="7" width="9.109375" style="55"/>
    <col min="8" max="12" width="10.44140625" style="55" bestFit="1" customWidth="1"/>
    <col min="13" max="16384" width="9.109375" style="55"/>
  </cols>
  <sheetData>
    <row r="1" spans="2:13" s="56" customFormat="1" ht="14.4">
      <c r="I1" s="218"/>
      <c r="L1" s="725" t="str">
        <f>"CURRENTLY RUNNING: "&amp;UPPER(CHOOSE(Scenarios!$C$6,Scenarios!B10,Scenarios!B11,Scenarios!B12))&amp;" SCENARIO"</f>
        <v>CURRENTLY RUNNING: BASE CASE SCENARIO</v>
      </c>
      <c r="M1"/>
    </row>
    <row r="2" spans="2:13" ht="22.8">
      <c r="B2" s="201" t="str">
        <f>Cover!B7</f>
        <v>PayPal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</row>
    <row r="3" spans="2:13" ht="18" thickBot="1">
      <c r="B3" s="219" t="s">
        <v>333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</row>
    <row r="4" spans="2:13"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</row>
    <row r="5" spans="2:13" ht="14.4" thickBot="1">
      <c r="B5" s="56"/>
      <c r="C5" s="56"/>
      <c r="D5" s="56"/>
      <c r="E5" s="56"/>
      <c r="F5" s="56"/>
      <c r="G5" s="56"/>
      <c r="H5" s="202" t="s">
        <v>94</v>
      </c>
      <c r="I5" s="75"/>
      <c r="J5" s="75"/>
      <c r="K5" s="75"/>
      <c r="L5" s="75"/>
    </row>
    <row r="6" spans="2:13" ht="14.4" thickBot="1">
      <c r="B6" s="552" t="s">
        <v>326</v>
      </c>
      <c r="C6" s="553">
        <v>2</v>
      </c>
      <c r="D6" s="56"/>
      <c r="E6" s="56"/>
      <c r="F6" s="56"/>
      <c r="G6" s="56"/>
      <c r="H6" s="121">
        <f>'Equity Schedule'!H6</f>
        <v>2026</v>
      </c>
      <c r="I6" s="121">
        <f>'Equity Schedule'!I6</f>
        <v>2027</v>
      </c>
      <c r="J6" s="121">
        <f>'Equity Schedule'!J6</f>
        <v>2028</v>
      </c>
      <c r="K6" s="121">
        <f>'Equity Schedule'!K6</f>
        <v>2029</v>
      </c>
      <c r="L6" s="121">
        <f>'Equity Schedule'!L6</f>
        <v>2030</v>
      </c>
    </row>
    <row r="7" spans="2:13"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</row>
    <row r="8" spans="2:13">
      <c r="B8" s="554" t="s">
        <v>327</v>
      </c>
      <c r="C8" s="555"/>
      <c r="D8" s="556"/>
      <c r="E8" s="556"/>
      <c r="F8" s="556"/>
      <c r="G8" s="555"/>
      <c r="H8" s="203">
        <f>CHOOSE($C$6,H10,H11,H12)</f>
        <v>0.06</v>
      </c>
      <c r="I8" s="203">
        <f t="shared" ref="I8:L8" si="0">CHOOSE($C$6,I10,I11,I12)</f>
        <v>0.06</v>
      </c>
      <c r="J8" s="203">
        <f t="shared" si="0"/>
        <v>0.06</v>
      </c>
      <c r="K8" s="203">
        <f t="shared" si="0"/>
        <v>0.06</v>
      </c>
      <c r="L8" s="204">
        <f t="shared" si="0"/>
        <v>0.06</v>
      </c>
    </row>
    <row r="9" spans="2:13">
      <c r="B9" s="557"/>
      <c r="C9" s="558"/>
      <c r="D9" s="559"/>
      <c r="E9" s="559"/>
      <c r="F9" s="559"/>
      <c r="G9" s="558"/>
      <c r="H9" s="52"/>
      <c r="I9" s="52"/>
      <c r="J9" s="52"/>
      <c r="K9" s="52"/>
      <c r="L9" s="52"/>
    </row>
    <row r="10" spans="2:13">
      <c r="B10" s="560" t="s">
        <v>195</v>
      </c>
      <c r="C10" s="110">
        <v>0.02</v>
      </c>
      <c r="D10" s="561"/>
      <c r="E10" s="561"/>
      <c r="F10" s="561"/>
      <c r="G10" s="558"/>
      <c r="H10" s="205">
        <f>H11+$C$10</f>
        <v>0.08</v>
      </c>
      <c r="I10" s="206">
        <f t="shared" ref="I10:L10" si="1">I11+$C$10</f>
        <v>0.08</v>
      </c>
      <c r="J10" s="206">
        <f t="shared" si="1"/>
        <v>0.08</v>
      </c>
      <c r="K10" s="206">
        <f t="shared" si="1"/>
        <v>0.08</v>
      </c>
      <c r="L10" s="207">
        <f t="shared" si="1"/>
        <v>0.08</v>
      </c>
    </row>
    <row r="11" spans="2:13">
      <c r="B11" s="560" t="s">
        <v>193</v>
      </c>
      <c r="C11" s="562"/>
      <c r="D11" s="561"/>
      <c r="E11" s="561"/>
      <c r="F11" s="561"/>
      <c r="G11" s="558"/>
      <c r="H11" s="111">
        <v>0.06</v>
      </c>
      <c r="I11" s="112">
        <v>0.06</v>
      </c>
      <c r="J11" s="112">
        <v>0.06</v>
      </c>
      <c r="K11" s="112">
        <v>0.06</v>
      </c>
      <c r="L11" s="113">
        <v>0.06</v>
      </c>
    </row>
    <row r="12" spans="2:13">
      <c r="B12" s="560" t="s">
        <v>197</v>
      </c>
      <c r="C12" s="110">
        <v>-0.02</v>
      </c>
      <c r="D12" s="561"/>
      <c r="E12" s="561"/>
      <c r="F12" s="561"/>
      <c r="G12" s="558"/>
      <c r="H12" s="208">
        <f>H11+$C$12</f>
        <v>3.9999999999999994E-2</v>
      </c>
      <c r="I12" s="209">
        <f t="shared" ref="I12:L12" si="2">I11+$C$12</f>
        <v>3.9999999999999994E-2</v>
      </c>
      <c r="J12" s="209">
        <f t="shared" si="2"/>
        <v>3.9999999999999994E-2</v>
      </c>
      <c r="K12" s="209">
        <f t="shared" si="2"/>
        <v>3.9999999999999994E-2</v>
      </c>
      <c r="L12" s="210">
        <f t="shared" si="2"/>
        <v>3.9999999999999994E-2</v>
      </c>
    </row>
    <row r="13" spans="2:13">
      <c r="B13" s="558"/>
      <c r="C13" s="110"/>
      <c r="D13" s="561"/>
      <c r="E13" s="561"/>
      <c r="F13" s="561"/>
      <c r="G13" s="558"/>
      <c r="H13" s="114"/>
      <c r="I13" s="114"/>
      <c r="J13" s="114"/>
      <c r="K13" s="114"/>
      <c r="L13" s="114"/>
    </row>
    <row r="14" spans="2:13">
      <c r="B14" s="554" t="s">
        <v>324</v>
      </c>
      <c r="C14" s="555"/>
      <c r="D14" s="556"/>
      <c r="E14" s="556"/>
      <c r="F14" s="556"/>
      <c r="G14" s="555"/>
      <c r="H14" s="925">
        <f>CHOOSE($C$6,H16,H17,H18)</f>
        <v>-4.0000000000000002E-4</v>
      </c>
      <c r="I14" s="925">
        <f t="shared" ref="I14:L14" si="3">CHOOSE($C$6,I16,I17,I18)</f>
        <v>-2.9999999999999997E-4</v>
      </c>
      <c r="J14" s="925">
        <f t="shared" si="3"/>
        <v>-2.0000000000000001E-4</v>
      </c>
      <c r="K14" s="925">
        <f t="shared" si="3"/>
        <v>-1E-4</v>
      </c>
      <c r="L14" s="926">
        <f t="shared" si="3"/>
        <v>-1E-4</v>
      </c>
    </row>
    <row r="15" spans="2:13">
      <c r="B15" s="557"/>
      <c r="C15" s="558"/>
      <c r="D15" s="559"/>
      <c r="E15" s="559"/>
      <c r="F15" s="559"/>
      <c r="G15" s="558"/>
      <c r="H15" s="927"/>
      <c r="I15" s="927"/>
      <c r="J15" s="927"/>
      <c r="K15" s="927"/>
      <c r="L15" s="927"/>
    </row>
    <row r="16" spans="2:13">
      <c r="B16" s="560" t="s">
        <v>195</v>
      </c>
      <c r="C16" s="688">
        <v>5.0000000000000002E-5</v>
      </c>
      <c r="D16" s="561"/>
      <c r="E16" s="561"/>
      <c r="F16" s="561"/>
      <c r="G16" s="558"/>
      <c r="H16" s="928">
        <f>H17+$C$16</f>
        <v>-3.5E-4</v>
      </c>
      <c r="I16" s="929">
        <f t="shared" ref="I16:L16" si="4">I17+$C$16</f>
        <v>-2.4999999999999995E-4</v>
      </c>
      <c r="J16" s="929">
        <f t="shared" si="4"/>
        <v>-1.5000000000000001E-4</v>
      </c>
      <c r="K16" s="929">
        <f t="shared" si="4"/>
        <v>-5.0000000000000002E-5</v>
      </c>
      <c r="L16" s="930">
        <f t="shared" si="4"/>
        <v>-5.0000000000000002E-5</v>
      </c>
    </row>
    <row r="17" spans="2:12">
      <c r="B17" s="560" t="s">
        <v>193</v>
      </c>
      <c r="C17" s="754"/>
      <c r="D17" s="561"/>
      <c r="E17" s="561"/>
      <c r="F17" s="561"/>
      <c r="G17" s="558"/>
      <c r="H17" s="931">
        <f>Assumptions!J57</f>
        <v>-4.0000000000000002E-4</v>
      </c>
      <c r="I17" s="932">
        <f>Assumptions!K57</f>
        <v>-2.9999999999999997E-4</v>
      </c>
      <c r="J17" s="932">
        <f>Assumptions!L57</f>
        <v>-2.0000000000000001E-4</v>
      </c>
      <c r="K17" s="932">
        <f>Assumptions!M57</f>
        <v>-1E-4</v>
      </c>
      <c r="L17" s="933">
        <f>Assumptions!N57</f>
        <v>-1E-4</v>
      </c>
    </row>
    <row r="18" spans="2:12">
      <c r="B18" s="560" t="s">
        <v>197</v>
      </c>
      <c r="C18" s="688">
        <v>-5.0000000000000002E-5</v>
      </c>
      <c r="D18" s="561"/>
      <c r="E18" s="561"/>
      <c r="F18" s="561"/>
      <c r="G18" s="558"/>
      <c r="H18" s="934">
        <f>H17+$C$18</f>
        <v>-4.5000000000000004E-4</v>
      </c>
      <c r="I18" s="935">
        <f t="shared" ref="I18:L18" si="5">I17+$C$18</f>
        <v>-3.5E-4</v>
      </c>
      <c r="J18" s="935">
        <f t="shared" si="5"/>
        <v>-2.5000000000000001E-4</v>
      </c>
      <c r="K18" s="935">
        <f t="shared" si="5"/>
        <v>-1.5000000000000001E-4</v>
      </c>
      <c r="L18" s="936">
        <f t="shared" si="5"/>
        <v>-1.5000000000000001E-4</v>
      </c>
    </row>
    <row r="19" spans="2:12"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</row>
    <row r="20" spans="2:12">
      <c r="B20" s="554" t="s">
        <v>510</v>
      </c>
      <c r="C20" s="555"/>
      <c r="D20" s="556"/>
      <c r="E20" s="556"/>
      <c r="F20" s="556"/>
      <c r="G20" s="555"/>
      <c r="H20" s="203">
        <f>CHOOSE($C$6,H22,H23,H24)</f>
        <v>0.04</v>
      </c>
      <c r="I20" s="203">
        <f t="shared" ref="I20:L20" si="6">CHOOSE($C$6,I22,I23,I24)</f>
        <v>0.04</v>
      </c>
      <c r="J20" s="203">
        <f t="shared" si="6"/>
        <v>0.04</v>
      </c>
      <c r="K20" s="203">
        <f t="shared" si="6"/>
        <v>0.04</v>
      </c>
      <c r="L20" s="204">
        <f t="shared" si="6"/>
        <v>0.04</v>
      </c>
    </row>
    <row r="21" spans="2:12">
      <c r="B21" s="557"/>
      <c r="C21" s="558"/>
      <c r="D21" s="559"/>
      <c r="E21" s="559"/>
      <c r="F21" s="559"/>
      <c r="G21" s="558"/>
      <c r="H21" s="52"/>
      <c r="I21" s="52"/>
      <c r="J21" s="52"/>
      <c r="K21" s="52"/>
      <c r="L21" s="52"/>
    </row>
    <row r="22" spans="2:12">
      <c r="B22" s="560" t="s">
        <v>195</v>
      </c>
      <c r="C22" s="110">
        <v>0.03</v>
      </c>
      <c r="D22" s="561"/>
      <c r="E22" s="561"/>
      <c r="F22" s="561"/>
      <c r="G22" s="558"/>
      <c r="H22" s="205">
        <f>H23+$C$22</f>
        <v>7.0000000000000007E-2</v>
      </c>
      <c r="I22" s="206">
        <f t="shared" ref="I22:L22" si="7">I23+$C$22</f>
        <v>7.0000000000000007E-2</v>
      </c>
      <c r="J22" s="206">
        <f t="shared" si="7"/>
        <v>7.0000000000000007E-2</v>
      </c>
      <c r="K22" s="206">
        <f t="shared" si="7"/>
        <v>7.0000000000000007E-2</v>
      </c>
      <c r="L22" s="207">
        <f t="shared" si="7"/>
        <v>7.0000000000000007E-2</v>
      </c>
    </row>
    <row r="23" spans="2:12">
      <c r="B23" s="560" t="s">
        <v>193</v>
      </c>
      <c r="C23" s="562"/>
      <c r="D23" s="561"/>
      <c r="E23" s="561"/>
      <c r="F23" s="561"/>
      <c r="G23" s="558"/>
      <c r="H23" s="111">
        <v>0.04</v>
      </c>
      <c r="I23" s="112">
        <v>0.04</v>
      </c>
      <c r="J23" s="112">
        <v>0.04</v>
      </c>
      <c r="K23" s="112">
        <v>0.04</v>
      </c>
      <c r="L23" s="113">
        <v>0.04</v>
      </c>
    </row>
    <row r="24" spans="2:12">
      <c r="B24" s="560" t="s">
        <v>197</v>
      </c>
      <c r="C24" s="110">
        <v>-0.03</v>
      </c>
      <c r="D24" s="561"/>
      <c r="E24" s="561"/>
      <c r="F24" s="561"/>
      <c r="G24" s="558"/>
      <c r="H24" s="208">
        <f>H23+$C$24</f>
        <v>1.0000000000000002E-2</v>
      </c>
      <c r="I24" s="209">
        <f t="shared" ref="I24:L24" si="8">I23+$C$24</f>
        <v>1.0000000000000002E-2</v>
      </c>
      <c r="J24" s="209">
        <f t="shared" si="8"/>
        <v>1.0000000000000002E-2</v>
      </c>
      <c r="K24" s="209">
        <f t="shared" si="8"/>
        <v>1.0000000000000002E-2</v>
      </c>
      <c r="L24" s="210">
        <f t="shared" si="8"/>
        <v>1.0000000000000002E-2</v>
      </c>
    </row>
    <row r="25" spans="2:12"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</row>
    <row r="26" spans="2:12">
      <c r="B26" s="554" t="s">
        <v>98</v>
      </c>
      <c r="C26" s="555"/>
      <c r="D26" s="556"/>
      <c r="E26" s="556"/>
      <c r="F26" s="556"/>
      <c r="G26" s="555"/>
      <c r="H26" s="203">
        <f>CHOOSE($C$6,H28,H29,H30)</f>
        <v>8.8999999999999999E-3</v>
      </c>
      <c r="I26" s="203">
        <f t="shared" ref="I26:L26" si="9">CHOOSE($C$6,I28,I29,I30)</f>
        <v>8.8999999999999999E-3</v>
      </c>
      <c r="J26" s="203">
        <f t="shared" si="9"/>
        <v>8.8999999999999999E-3</v>
      </c>
      <c r="K26" s="203">
        <f t="shared" si="9"/>
        <v>8.8999999999999999E-3</v>
      </c>
      <c r="L26" s="204">
        <f t="shared" si="9"/>
        <v>8.8999999999999999E-3</v>
      </c>
    </row>
    <row r="27" spans="2:12">
      <c r="B27" s="557"/>
      <c r="C27" s="558"/>
      <c r="D27" s="559"/>
      <c r="E27" s="559"/>
      <c r="F27" s="559"/>
      <c r="G27" s="558"/>
      <c r="H27" s="52"/>
      <c r="I27" s="52"/>
      <c r="J27" s="52"/>
      <c r="K27" s="52"/>
      <c r="L27" s="52"/>
    </row>
    <row r="28" spans="2:12">
      <c r="B28" s="560" t="s">
        <v>195</v>
      </c>
      <c r="C28" s="110">
        <v>-2.5000000000000001E-4</v>
      </c>
      <c r="D28" s="561"/>
      <c r="E28" s="561"/>
      <c r="F28" s="561"/>
      <c r="G28" s="558"/>
      <c r="H28" s="205">
        <f>H29+$C$28</f>
        <v>8.6499999999999997E-3</v>
      </c>
      <c r="I28" s="206">
        <f t="shared" ref="I28:L28" si="10">I29+$C$28</f>
        <v>8.6499999999999997E-3</v>
      </c>
      <c r="J28" s="206">
        <f t="shared" si="10"/>
        <v>8.6499999999999997E-3</v>
      </c>
      <c r="K28" s="206">
        <f t="shared" si="10"/>
        <v>8.6499999999999997E-3</v>
      </c>
      <c r="L28" s="207">
        <f t="shared" si="10"/>
        <v>8.6499999999999997E-3</v>
      </c>
    </row>
    <row r="29" spans="2:12">
      <c r="B29" s="560" t="s">
        <v>193</v>
      </c>
      <c r="C29" s="562"/>
      <c r="D29" s="56"/>
      <c r="E29" s="561"/>
      <c r="F29" s="561"/>
      <c r="G29" s="558"/>
      <c r="H29" s="111">
        <v>8.8999999999999999E-3</v>
      </c>
      <c r="I29" s="112">
        <v>8.8999999999999999E-3</v>
      </c>
      <c r="J29" s="112">
        <v>8.8999999999999999E-3</v>
      </c>
      <c r="K29" s="112">
        <v>8.8999999999999999E-3</v>
      </c>
      <c r="L29" s="113">
        <v>8.8999999999999999E-3</v>
      </c>
    </row>
    <row r="30" spans="2:12">
      <c r="B30" s="560" t="s">
        <v>197</v>
      </c>
      <c r="C30" s="110">
        <v>2.5000000000000001E-4</v>
      </c>
      <c r="D30" s="561"/>
      <c r="E30" s="561"/>
      <c r="F30" s="561"/>
      <c r="G30" s="558"/>
      <c r="H30" s="208">
        <f>H29+$C$30</f>
        <v>9.1500000000000001E-3</v>
      </c>
      <c r="I30" s="209">
        <f t="shared" ref="I30:L30" si="11">I29+$C$30</f>
        <v>9.1500000000000001E-3</v>
      </c>
      <c r="J30" s="209">
        <f t="shared" si="11"/>
        <v>9.1500000000000001E-3</v>
      </c>
      <c r="K30" s="209">
        <f t="shared" si="11"/>
        <v>9.1500000000000001E-3</v>
      </c>
      <c r="L30" s="210">
        <f t="shared" si="11"/>
        <v>9.1500000000000001E-3</v>
      </c>
    </row>
    <row r="31" spans="2:12">
      <c r="B31" s="558"/>
      <c r="C31" s="110"/>
      <c r="D31" s="561"/>
      <c r="E31" s="561"/>
      <c r="F31" s="561"/>
      <c r="G31" s="558"/>
      <c r="H31" s="114"/>
      <c r="I31" s="114"/>
      <c r="J31" s="114"/>
      <c r="K31" s="114"/>
      <c r="L31" s="114"/>
    </row>
    <row r="32" spans="2:12">
      <c r="B32" s="554" t="s">
        <v>99</v>
      </c>
      <c r="C32" s="555"/>
      <c r="D32" s="556"/>
      <c r="E32" s="556"/>
      <c r="F32" s="556"/>
      <c r="G32" s="555"/>
      <c r="H32" s="203">
        <f>CHOOSE($C$6,H34,H35,H36)</f>
        <v>9.6000000000000002E-4</v>
      </c>
      <c r="I32" s="203">
        <f>CHOOSE($C$6,I34,I35,I36)</f>
        <v>9.6000000000000002E-4</v>
      </c>
      <c r="J32" s="203">
        <f>CHOOSE($C$6,J34,J35,J36)</f>
        <v>9.6000000000000002E-4</v>
      </c>
      <c r="K32" s="203">
        <f>CHOOSE($C$6,K34,K35,K36)</f>
        <v>9.6000000000000002E-4</v>
      </c>
      <c r="L32" s="204">
        <f>CHOOSE($C$6,L34,L35,L36)</f>
        <v>9.6000000000000002E-4</v>
      </c>
    </row>
    <row r="33" spans="2:12">
      <c r="B33" s="557"/>
      <c r="C33" s="558"/>
      <c r="D33" s="559"/>
      <c r="E33" s="559"/>
      <c r="F33" s="559"/>
      <c r="G33" s="558"/>
      <c r="H33" s="52"/>
      <c r="I33" s="52"/>
      <c r="J33" s="52"/>
      <c r="K33" s="52"/>
      <c r="L33" s="52"/>
    </row>
    <row r="34" spans="2:12">
      <c r="B34" s="560" t="s">
        <v>195</v>
      </c>
      <c r="C34" s="110">
        <v>-1E-4</v>
      </c>
      <c r="D34" s="561"/>
      <c r="E34" s="561"/>
      <c r="F34" s="561"/>
      <c r="G34" s="558"/>
      <c r="H34" s="205">
        <f>H35+$C$34</f>
        <v>8.5999999999999998E-4</v>
      </c>
      <c r="I34" s="206">
        <f t="shared" ref="I34:L34" si="12">I35+$C$34</f>
        <v>8.5999999999999998E-4</v>
      </c>
      <c r="J34" s="206">
        <f t="shared" si="12"/>
        <v>8.5999999999999998E-4</v>
      </c>
      <c r="K34" s="206">
        <f t="shared" si="12"/>
        <v>8.5999999999999998E-4</v>
      </c>
      <c r="L34" s="207">
        <f t="shared" si="12"/>
        <v>8.5999999999999998E-4</v>
      </c>
    </row>
    <row r="35" spans="2:12">
      <c r="B35" s="560" t="s">
        <v>193</v>
      </c>
      <c r="C35" s="562"/>
      <c r="D35" s="56"/>
      <c r="E35" s="561"/>
      <c r="F35" s="561"/>
      <c r="G35" s="558"/>
      <c r="H35" s="111">
        <v>9.6000000000000002E-4</v>
      </c>
      <c r="I35" s="112">
        <v>9.6000000000000002E-4</v>
      </c>
      <c r="J35" s="112">
        <v>9.6000000000000002E-4</v>
      </c>
      <c r="K35" s="112">
        <v>9.6000000000000002E-4</v>
      </c>
      <c r="L35" s="113">
        <v>9.6000000000000002E-4</v>
      </c>
    </row>
    <row r="36" spans="2:12">
      <c r="B36" s="560" t="s">
        <v>197</v>
      </c>
      <c r="C36" s="110">
        <v>1E-4</v>
      </c>
      <c r="D36" s="561"/>
      <c r="E36" s="561"/>
      <c r="F36" s="561"/>
      <c r="G36" s="558"/>
      <c r="H36" s="208">
        <f>H35+$C$36</f>
        <v>1.06E-3</v>
      </c>
      <c r="I36" s="209">
        <f>I35+$C$36</f>
        <v>1.06E-3</v>
      </c>
      <c r="J36" s="209">
        <f>J35+$C$36</f>
        <v>1.06E-3</v>
      </c>
      <c r="K36" s="209">
        <f>K35+$C$36</f>
        <v>1.06E-3</v>
      </c>
      <c r="L36" s="210">
        <f>L35+$C$36</f>
        <v>1.06E-3</v>
      </c>
    </row>
    <row r="37" spans="2:12">
      <c r="B37" s="56"/>
      <c r="C37" s="56"/>
      <c r="D37" s="56"/>
      <c r="E37" s="56"/>
      <c r="F37" s="56"/>
      <c r="G37" s="56"/>
      <c r="H37" s="115"/>
      <c r="I37" s="115"/>
      <c r="J37" s="115"/>
      <c r="K37" s="115"/>
      <c r="L37" s="115"/>
    </row>
    <row r="38" spans="2:12">
      <c r="B38" s="554" t="s">
        <v>102</v>
      </c>
      <c r="C38" s="555"/>
      <c r="D38" s="556"/>
      <c r="E38" s="556"/>
      <c r="F38" s="556"/>
      <c r="G38" s="555"/>
      <c r="H38" s="203">
        <f>CHOOSE($C$6,H40,H41,H42)</f>
        <v>0.03</v>
      </c>
      <c r="I38" s="203">
        <f>CHOOSE($C$6,I40,I41,I42)</f>
        <v>0.03</v>
      </c>
      <c r="J38" s="203">
        <f>CHOOSE($C$6,J40,J41,J42)</f>
        <v>0.03</v>
      </c>
      <c r="K38" s="203">
        <f>CHOOSE($C$6,K40,K41,K42)</f>
        <v>0.03</v>
      </c>
      <c r="L38" s="204">
        <f>CHOOSE($C$6,L40,L41,L42)</f>
        <v>0.03</v>
      </c>
    </row>
    <row r="39" spans="2:12">
      <c r="B39" s="557"/>
      <c r="C39" s="558"/>
      <c r="D39" s="559"/>
      <c r="E39" s="559"/>
      <c r="F39" s="559"/>
      <c r="G39" s="558"/>
      <c r="H39" s="52"/>
      <c r="I39" s="52"/>
      <c r="J39" s="52"/>
      <c r="K39" s="52"/>
      <c r="L39" s="52"/>
    </row>
    <row r="40" spans="2:12">
      <c r="B40" s="560" t="s">
        <v>195</v>
      </c>
      <c r="C40" s="110">
        <v>-0.01</v>
      </c>
      <c r="D40" s="561"/>
      <c r="E40" s="561"/>
      <c r="F40" s="561"/>
      <c r="G40" s="558"/>
      <c r="H40" s="205">
        <f>H41+$C$40</f>
        <v>1.9999999999999997E-2</v>
      </c>
      <c r="I40" s="206">
        <f t="shared" ref="I40:L40" si="13">I41+$C$40</f>
        <v>1.9999999999999997E-2</v>
      </c>
      <c r="J40" s="206">
        <f t="shared" si="13"/>
        <v>1.9999999999999997E-2</v>
      </c>
      <c r="K40" s="206">
        <f t="shared" si="13"/>
        <v>1.9999999999999997E-2</v>
      </c>
      <c r="L40" s="207">
        <f t="shared" si="13"/>
        <v>1.9999999999999997E-2</v>
      </c>
    </row>
    <row r="41" spans="2:12">
      <c r="B41" s="560" t="s">
        <v>193</v>
      </c>
      <c r="C41" s="562"/>
      <c r="D41" s="56"/>
      <c r="E41" s="561"/>
      <c r="F41" s="561"/>
      <c r="G41" s="558"/>
      <c r="H41" s="111">
        <v>0.03</v>
      </c>
      <c r="I41" s="112">
        <v>0.03</v>
      </c>
      <c r="J41" s="112">
        <v>0.03</v>
      </c>
      <c r="K41" s="112">
        <v>0.03</v>
      </c>
      <c r="L41" s="113">
        <v>0.03</v>
      </c>
    </row>
    <row r="42" spans="2:12">
      <c r="B42" s="560" t="s">
        <v>197</v>
      </c>
      <c r="C42" s="110">
        <v>0.01</v>
      </c>
      <c r="D42" s="561"/>
      <c r="E42" s="561"/>
      <c r="F42" s="561"/>
      <c r="G42" s="558"/>
      <c r="H42" s="208">
        <f>H41+$C$42</f>
        <v>0.04</v>
      </c>
      <c r="I42" s="209">
        <f>I41+$C$42</f>
        <v>0.04</v>
      </c>
      <c r="J42" s="209">
        <f>J41+$C$42</f>
        <v>0.04</v>
      </c>
      <c r="K42" s="209">
        <f>K41+$C$42</f>
        <v>0.04</v>
      </c>
      <c r="L42" s="210">
        <f>L41+$C$42</f>
        <v>0.04</v>
      </c>
    </row>
    <row r="43" spans="2:12"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</row>
    <row r="44" spans="2:12">
      <c r="B44" s="554" t="s">
        <v>457</v>
      </c>
      <c r="C44" s="555"/>
      <c r="D44" s="556"/>
      <c r="E44" s="556"/>
      <c r="F44" s="556"/>
      <c r="G44" s="555"/>
      <c r="H44" s="211">
        <f>CHOOSE($C$6,H46,H47,H48)</f>
        <v>7</v>
      </c>
      <c r="I44" s="211">
        <f>CHOOSE($C$6,I46,I47,I48)</f>
        <v>7</v>
      </c>
      <c r="J44" s="211">
        <f>CHOOSE($C$6,J46,J47,J48)</f>
        <v>7</v>
      </c>
      <c r="K44" s="211">
        <f>CHOOSE($C$6,K46,K47,K48)</f>
        <v>7</v>
      </c>
      <c r="L44" s="211">
        <f>CHOOSE($C$6,L46,L47,L48)</f>
        <v>7</v>
      </c>
    </row>
    <row r="45" spans="2:12">
      <c r="B45" s="557"/>
      <c r="C45" s="558"/>
      <c r="D45" s="559"/>
      <c r="E45" s="559"/>
      <c r="F45" s="559"/>
      <c r="G45" s="558"/>
      <c r="H45" s="52"/>
      <c r="I45" s="52"/>
      <c r="J45" s="52"/>
      <c r="K45" s="52"/>
      <c r="L45" s="52"/>
    </row>
    <row r="46" spans="2:12">
      <c r="B46" s="560" t="s">
        <v>195</v>
      </c>
      <c r="C46" s="164">
        <v>1</v>
      </c>
      <c r="D46" s="561"/>
      <c r="E46" s="561"/>
      <c r="F46" s="561"/>
      <c r="G46" s="558"/>
      <c r="H46" s="212">
        <f>H47+$C$46</f>
        <v>8</v>
      </c>
      <c r="I46" s="213">
        <f t="shared" ref="I46:L46" si="14">I47+$C$46</f>
        <v>8</v>
      </c>
      <c r="J46" s="213">
        <f t="shared" si="14"/>
        <v>8</v>
      </c>
      <c r="K46" s="213">
        <f t="shared" si="14"/>
        <v>8</v>
      </c>
      <c r="L46" s="214">
        <f t="shared" si="14"/>
        <v>8</v>
      </c>
    </row>
    <row r="47" spans="2:12">
      <c r="B47" s="560" t="s">
        <v>193</v>
      </c>
      <c r="C47" s="562"/>
      <c r="D47" s="56"/>
      <c r="E47" s="561"/>
      <c r="F47" s="561"/>
      <c r="G47" s="558"/>
      <c r="H47" s="165">
        <v>7</v>
      </c>
      <c r="I47" s="164">
        <v>7</v>
      </c>
      <c r="J47" s="164">
        <v>7</v>
      </c>
      <c r="K47" s="164">
        <v>7</v>
      </c>
      <c r="L47" s="166">
        <v>7</v>
      </c>
    </row>
    <row r="48" spans="2:12">
      <c r="B48" s="560" t="s">
        <v>197</v>
      </c>
      <c r="C48" s="164">
        <v>-1</v>
      </c>
      <c r="D48" s="561"/>
      <c r="E48" s="561"/>
      <c r="F48" s="561"/>
      <c r="G48" s="558"/>
      <c r="H48" s="215">
        <f>H47+$C$48</f>
        <v>6</v>
      </c>
      <c r="I48" s="216">
        <f t="shared" ref="I48:L48" si="15">I47+$C$48</f>
        <v>6</v>
      </c>
      <c r="J48" s="216">
        <f t="shared" si="15"/>
        <v>6</v>
      </c>
      <c r="K48" s="216">
        <f t="shared" si="15"/>
        <v>6</v>
      </c>
      <c r="L48" s="217">
        <f t="shared" si="15"/>
        <v>6</v>
      </c>
    </row>
    <row r="49" spans="2:13"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63"/>
    </row>
    <row r="50" spans="2:13"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</row>
    <row r="51" spans="2:13"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</row>
    <row r="52" spans="2:13"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</row>
    <row r="53" spans="2:13"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</row>
    <row r="54" spans="2:13"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</row>
    <row r="55" spans="2:13"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</row>
    <row r="56" spans="2:13"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</row>
    <row r="57" spans="2:13"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</row>
    <row r="58" spans="2:13"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2:13"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</row>
  </sheetData>
  <dataValidations disablePrompts="1" count="1">
    <dataValidation type="list" allowBlank="1" showInputMessage="1" showErrorMessage="1" sqref="C6" xr:uid="{735585E6-C06C-4FB4-BFB0-D67E9C10103F}">
      <formula1>"1,2,3"</formula1>
    </dataValidation>
  </dataValidations>
  <printOptions horizontalCentered="1"/>
  <pageMargins left="0.7" right="0.7" top="0.75" bottom="0.75" header="0.3" footer="0.3"/>
  <pageSetup scale="94" fitToHeight="0" orientation="landscape" r:id="rId1"/>
  <headerFooter differentOddEven="1">
    <oddFooter>&amp;L&amp;"Arial"&amp;8Tyler Spencer&amp;C&amp;"Arial"&amp;8&amp;INot associated with PayPal. For educational purposes only.&amp;R&amp;"Arial"&amp;8Page &amp;P</oddFooter>
    <evenFooter>&amp;L&amp;"Arial"&amp;8Tyler Spencer&amp;C&amp;"Arial"&amp;8&amp;INot associated with PayPal. For educational purposes only.&amp;R&amp;"Arial"&amp;8Page &amp;P</evenFooter>
  </headerFooter>
  <rowBreaks count="1" manualBreakCount="1">
    <brk id="30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3250" r:id="rId4" name="Drop Down 2">
              <controlPr defaultSize="0" autoLine="0" autoPict="0">
                <anchor moveWithCells="1">
                  <from>
                    <xdr:col>1</xdr:col>
                    <xdr:colOff>1295400</xdr:colOff>
                    <xdr:row>4</xdr:row>
                    <xdr:rowOff>175260</xdr:rowOff>
                  </from>
                  <to>
                    <xdr:col>3</xdr:col>
                    <xdr:colOff>190500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63281-1969-4908-8584-DA7D7A2FF53F}">
  <sheetPr>
    <pageSetUpPr fitToPage="1"/>
  </sheetPr>
  <dimension ref="B1:L25"/>
  <sheetViews>
    <sheetView topLeftCell="A5" workbookViewId="0">
      <selection activeCell="I9" sqref="I9"/>
    </sheetView>
  </sheetViews>
  <sheetFormatPr defaultColWidth="8.88671875" defaultRowHeight="13.8"/>
  <cols>
    <col min="1" max="1" width="2.6640625" style="55" customWidth="1"/>
    <col min="2" max="2" width="3.6640625" style="55" customWidth="1"/>
    <col min="3" max="3" width="29.88671875" style="55" customWidth="1"/>
    <col min="4" max="4" width="6.5546875" style="55" customWidth="1"/>
    <col min="5" max="12" width="12.33203125" style="55" customWidth="1"/>
    <col min="13" max="16384" width="8.88671875" style="55"/>
  </cols>
  <sheetData>
    <row r="1" spans="2:12">
      <c r="I1" s="218"/>
      <c r="L1" s="725" t="str">
        <f>"CURRENTLY RUNNING: "&amp;UPPER(CHOOSE(Scenarios!$C$6,Scenarios!B10,Scenarios!B11,Scenarios!B12))&amp;" SCENARIO"</f>
        <v>CURRENTLY RUNNING: BASE CASE SCENARIO</v>
      </c>
    </row>
    <row r="2" spans="2:12" ht="22.8">
      <c r="B2" s="201" t="str">
        <f>Cover!$B$7</f>
        <v>PayPal</v>
      </c>
      <c r="C2" s="57"/>
      <c r="D2" s="58"/>
      <c r="E2" s="58"/>
      <c r="F2" s="58"/>
      <c r="G2" s="58"/>
      <c r="H2" s="58"/>
      <c r="I2" s="58"/>
      <c r="J2" s="58"/>
      <c r="K2" s="58"/>
      <c r="L2" s="59"/>
    </row>
    <row r="3" spans="2:12" ht="18" thickBot="1">
      <c r="B3" s="219" t="s">
        <v>315</v>
      </c>
      <c r="C3" s="3"/>
      <c r="D3" s="4"/>
      <c r="E3" s="4"/>
      <c r="F3" s="4"/>
      <c r="G3" s="4"/>
      <c r="H3" s="4"/>
      <c r="I3" s="4"/>
      <c r="J3" s="4"/>
      <c r="K3" s="4"/>
      <c r="L3" s="4"/>
    </row>
    <row r="4" spans="2:12">
      <c r="B4" s="220" t="s">
        <v>93</v>
      </c>
      <c r="C4" s="56"/>
      <c r="D4" s="56"/>
      <c r="E4" s="74"/>
      <c r="F4" s="74"/>
      <c r="G4" s="74"/>
      <c r="H4" s="74"/>
      <c r="I4" s="74"/>
      <c r="J4" s="74"/>
      <c r="K4" s="74"/>
      <c r="L4" s="74"/>
    </row>
    <row r="5" spans="2:12">
      <c r="B5" s="56"/>
      <c r="C5" s="56"/>
      <c r="D5" s="56"/>
      <c r="E5" s="56"/>
      <c r="F5" s="56"/>
      <c r="G5" s="56"/>
      <c r="H5" s="202" t="s">
        <v>94</v>
      </c>
      <c r="I5" s="75"/>
      <c r="J5" s="75"/>
      <c r="K5" s="75"/>
      <c r="L5" s="75"/>
    </row>
    <row r="6" spans="2:12">
      <c r="B6" s="56"/>
      <c r="C6" s="56"/>
      <c r="D6" s="56"/>
      <c r="E6" s="221">
        <f>F6-1</f>
        <v>2023</v>
      </c>
      <c r="F6" s="221">
        <f>G6-1</f>
        <v>2024</v>
      </c>
      <c r="G6" s="221">
        <v>2025</v>
      </c>
      <c r="H6" s="222">
        <f>G6+1</f>
        <v>2026</v>
      </c>
      <c r="I6" s="222">
        <f>H6+1</f>
        <v>2027</v>
      </c>
      <c r="J6" s="222">
        <f>I6+1</f>
        <v>2028</v>
      </c>
      <c r="K6" s="222">
        <f>J6+1</f>
        <v>2029</v>
      </c>
      <c r="L6" s="222">
        <f>K6+1</f>
        <v>2030</v>
      </c>
    </row>
    <row r="7" spans="2:12"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</row>
    <row r="8" spans="2:12">
      <c r="B8" s="121" t="s">
        <v>316</v>
      </c>
      <c r="C8" s="56"/>
      <c r="D8" s="56"/>
      <c r="E8" s="56"/>
      <c r="F8" s="56"/>
      <c r="G8" s="56"/>
      <c r="H8" s="56"/>
      <c r="I8" s="56"/>
      <c r="J8" s="56"/>
      <c r="K8" s="56"/>
      <c r="L8" s="56"/>
    </row>
    <row r="9" spans="2:12">
      <c r="B9" s="56"/>
      <c r="C9" s="125" t="s">
        <v>317</v>
      </c>
      <c r="D9" s="56"/>
      <c r="E9" s="145">
        <f>E16</f>
        <v>26857</v>
      </c>
      <c r="F9" s="145">
        <f t="shared" ref="F9:G9" si="0">F16</f>
        <v>28842</v>
      </c>
      <c r="G9" s="145">
        <f t="shared" si="0"/>
        <v>29798</v>
      </c>
      <c r="H9" s="145">
        <f>H16</f>
        <v>30826.92</v>
      </c>
      <c r="I9" s="145">
        <f t="shared" ref="I9:L9" si="1">I16</f>
        <v>32073.161999999993</v>
      </c>
      <c r="J9" s="145">
        <f t="shared" si="1"/>
        <v>33571.167991999995</v>
      </c>
      <c r="K9" s="145">
        <f t="shared" si="1"/>
        <v>35359.454695679997</v>
      </c>
      <c r="L9" s="145">
        <f t="shared" si="1"/>
        <v>37241.479599030397</v>
      </c>
    </row>
    <row r="10" spans="2:12">
      <c r="B10" s="56"/>
      <c r="C10" s="125" t="s">
        <v>321</v>
      </c>
      <c r="D10" s="56"/>
      <c r="E10" s="145">
        <f>E19</f>
        <v>2914</v>
      </c>
      <c r="F10" s="145">
        <f>F19</f>
        <v>2955</v>
      </c>
      <c r="G10" s="145">
        <f t="shared" ref="G10" si="2">G19</f>
        <v>3374</v>
      </c>
      <c r="H10" s="145">
        <f>H19</f>
        <v>3488.7660800000003</v>
      </c>
      <c r="I10" s="145">
        <f t="shared" ref="I10:L10" si="3">I19</f>
        <v>3615.7266624000004</v>
      </c>
      <c r="J10" s="145">
        <f t="shared" si="3"/>
        <v>3747.387966272001</v>
      </c>
      <c r="K10" s="145">
        <f t="shared" si="3"/>
        <v>3883.926689420161</v>
      </c>
      <c r="L10" s="145">
        <f t="shared" si="3"/>
        <v>4025.5262576291652</v>
      </c>
    </row>
    <row r="11" spans="2:12">
      <c r="B11" s="56"/>
      <c r="C11" s="125" t="s">
        <v>318</v>
      </c>
      <c r="D11" s="56"/>
      <c r="E11" s="622">
        <f>SUM(E9:E10)</f>
        <v>29771</v>
      </c>
      <c r="F11" s="622">
        <f>SUM(F9:F10)</f>
        <v>31797</v>
      </c>
      <c r="G11" s="622">
        <f t="shared" ref="G11" si="4">SUM(G9:G10)</f>
        <v>33172</v>
      </c>
      <c r="H11" s="622">
        <f>SUM(H9:H10)</f>
        <v>34315.686079999999</v>
      </c>
      <c r="I11" s="622">
        <f t="shared" ref="I11:L11" si="5">SUM(I9:I10)</f>
        <v>35688.888662399993</v>
      </c>
      <c r="J11" s="622">
        <f t="shared" si="5"/>
        <v>37318.555958271994</v>
      </c>
      <c r="K11" s="622">
        <f t="shared" si="5"/>
        <v>39243.381385100161</v>
      </c>
      <c r="L11" s="622">
        <f t="shared" si="5"/>
        <v>41267.005856659562</v>
      </c>
    </row>
    <row r="12" spans="2:12">
      <c r="B12" s="56"/>
      <c r="C12" s="56"/>
      <c r="D12" s="56"/>
      <c r="E12" s="76"/>
      <c r="F12" s="76"/>
      <c r="G12" s="76"/>
      <c r="H12" s="76"/>
      <c r="I12" s="76"/>
      <c r="J12" s="76"/>
      <c r="K12" s="76"/>
      <c r="L12" s="76"/>
    </row>
    <row r="13" spans="2:12">
      <c r="B13" s="121" t="s">
        <v>319</v>
      </c>
      <c r="C13" s="56"/>
      <c r="D13" s="56"/>
      <c r="E13" s="76"/>
      <c r="F13" s="76"/>
      <c r="G13" s="76"/>
      <c r="H13" s="76"/>
      <c r="I13" s="76"/>
      <c r="J13" s="76"/>
      <c r="K13" s="76"/>
      <c r="L13" s="76"/>
    </row>
    <row r="14" spans="2:12">
      <c r="B14" s="56"/>
      <c r="C14" s="125" t="s">
        <v>322</v>
      </c>
      <c r="D14" s="56"/>
      <c r="E14" s="175">
        <v>1527000</v>
      </c>
      <c r="F14" s="175">
        <v>1680000</v>
      </c>
      <c r="G14" s="175">
        <v>1790000</v>
      </c>
      <c r="H14" s="223">
        <f>G14*(1+Assumptions!N19)</f>
        <v>1897400</v>
      </c>
      <c r="I14" s="223">
        <f>H14*(1+Scenarios!I8)</f>
        <v>2011244</v>
      </c>
      <c r="J14" s="223">
        <f>I14*(1+Scenarios!J8)</f>
        <v>2131918.64</v>
      </c>
      <c r="K14" s="223">
        <f>J14*(1+Scenarios!K8)</f>
        <v>2259833.7584000002</v>
      </c>
      <c r="L14" s="223">
        <f>K14*(1+Scenarios!L8)</f>
        <v>2395423.7839040002</v>
      </c>
    </row>
    <row r="15" spans="2:12">
      <c r="B15" s="56"/>
      <c r="C15" s="125" t="s">
        <v>320</v>
      </c>
      <c r="D15" s="56"/>
      <c r="E15" s="224">
        <f>E16/E14</f>
        <v>1.7588081204977079E-2</v>
      </c>
      <c r="F15" s="224">
        <f t="shared" ref="F15:G15" si="6">F16/F14</f>
        <v>1.7167857142857144E-2</v>
      </c>
      <c r="G15" s="224">
        <f t="shared" si="6"/>
        <v>1.6646927374301675E-2</v>
      </c>
      <c r="H15" s="137">
        <f>G15+Scenarios!H14</f>
        <v>1.6246927374301674E-2</v>
      </c>
      <c r="I15" s="137">
        <f>H15+Scenarios!I14</f>
        <v>1.5946927374301673E-2</v>
      </c>
      <c r="J15" s="137">
        <f>I15+Scenarios!J14</f>
        <v>1.5746927374301674E-2</v>
      </c>
      <c r="K15" s="137">
        <f>J15+Scenarios!K14</f>
        <v>1.5646927374301674E-2</v>
      </c>
      <c r="L15" s="137">
        <f>K15+Scenarios!L14</f>
        <v>1.5546927374301675E-2</v>
      </c>
    </row>
    <row r="16" spans="2:12">
      <c r="B16" s="56"/>
      <c r="C16" s="125" t="s">
        <v>2</v>
      </c>
      <c r="D16" s="56"/>
      <c r="E16" s="623">
        <v>26857</v>
      </c>
      <c r="F16" s="623">
        <v>28842</v>
      </c>
      <c r="G16" s="623">
        <v>29798</v>
      </c>
      <c r="H16" s="624">
        <f>H14*H15</f>
        <v>30826.92</v>
      </c>
      <c r="I16" s="624">
        <f t="shared" ref="I16" si="7">I14*I15</f>
        <v>32073.161999999993</v>
      </c>
      <c r="J16" s="624">
        <f t="shared" ref="J16" si="8">J14*J15</f>
        <v>33571.167991999995</v>
      </c>
      <c r="K16" s="624">
        <f t="shared" ref="K16" si="9">K14*K15</f>
        <v>35359.454695679997</v>
      </c>
      <c r="L16" s="624">
        <f t="shared" ref="L16" si="10">L14*L15</f>
        <v>37241.479599030397</v>
      </c>
    </row>
    <row r="17" spans="2:12">
      <c r="B17" s="56"/>
      <c r="C17" s="56"/>
      <c r="D17" s="56"/>
      <c r="E17" s="83"/>
      <c r="F17" s="83"/>
      <c r="G17" s="83"/>
      <c r="H17" s="83"/>
      <c r="I17" s="83"/>
      <c r="J17" s="83"/>
      <c r="K17" s="83"/>
      <c r="L17" s="83"/>
    </row>
    <row r="18" spans="2:12">
      <c r="B18" s="121" t="s">
        <v>321</v>
      </c>
      <c r="C18" s="56"/>
      <c r="D18" s="56"/>
      <c r="E18" s="83"/>
      <c r="F18" s="83"/>
      <c r="G18" s="83"/>
      <c r="H18" s="83"/>
      <c r="I18" s="83"/>
      <c r="J18" s="83"/>
      <c r="K18" s="83"/>
      <c r="L18" s="83"/>
    </row>
    <row r="19" spans="2:12">
      <c r="B19" s="56"/>
      <c r="C19" s="125" t="s">
        <v>505</v>
      </c>
      <c r="D19" s="56"/>
      <c r="E19" s="175">
        <v>2914</v>
      </c>
      <c r="F19" s="175">
        <v>2955</v>
      </c>
      <c r="G19" s="175">
        <v>3374</v>
      </c>
      <c r="H19" s="145">
        <f>H23+H24</f>
        <v>3488.7660800000003</v>
      </c>
      <c r="I19" s="145">
        <f t="shared" ref="I19:L19" si="11">I23+I24</f>
        <v>3615.7266624000004</v>
      </c>
      <c r="J19" s="145">
        <f t="shared" si="11"/>
        <v>3747.387966272001</v>
      </c>
      <c r="K19" s="145">
        <f t="shared" si="11"/>
        <v>3883.926689420161</v>
      </c>
      <c r="L19" s="145">
        <f t="shared" si="11"/>
        <v>4025.5262576291652</v>
      </c>
    </row>
    <row r="21" spans="2:12">
      <c r="C21" s="125" t="s">
        <v>507</v>
      </c>
      <c r="E21" s="172">
        <v>38935</v>
      </c>
      <c r="F21" s="172">
        <v>37671</v>
      </c>
      <c r="G21" s="172">
        <v>38198</v>
      </c>
      <c r="H21" s="130">
        <f>G21*(1+Assumptions!$N$32)</f>
        <v>39343.94</v>
      </c>
      <c r="I21" s="130">
        <f>H21*(1+Assumptions!$N$32)</f>
        <v>40524.258200000004</v>
      </c>
      <c r="J21" s="130">
        <f>I21*(1+Assumptions!$N$32)</f>
        <v>41739.985946000008</v>
      </c>
      <c r="K21" s="130">
        <f>J21*(1+Assumptions!$N$32)</f>
        <v>42992.185524380009</v>
      </c>
      <c r="L21" s="130">
        <f>K21*(1+Assumptions!$N$32)</f>
        <v>44281.951090111412</v>
      </c>
    </row>
    <row r="22" spans="2:12">
      <c r="C22" s="125" t="s">
        <v>506</v>
      </c>
      <c r="E22" s="641">
        <f>E23/E21</f>
        <v>2.3218184153075638E-2</v>
      </c>
      <c r="F22" s="641">
        <f>F23/F21</f>
        <v>3.4084574341005015E-2</v>
      </c>
      <c r="G22" s="641">
        <f>G23/G21</f>
        <v>3.2200638776899312E-2</v>
      </c>
      <c r="H22" s="641">
        <f>Assumptions!$N$31</f>
        <v>3.2000000000000001E-2</v>
      </c>
      <c r="I22" s="641">
        <f>Assumptions!$N$31</f>
        <v>3.2000000000000001E-2</v>
      </c>
      <c r="J22" s="641">
        <f>Assumptions!$N$31</f>
        <v>3.2000000000000001E-2</v>
      </c>
      <c r="K22" s="641">
        <f>Assumptions!$N$31</f>
        <v>3.2000000000000001E-2</v>
      </c>
      <c r="L22" s="641">
        <f>Assumptions!$N$31</f>
        <v>3.2000000000000001E-2</v>
      </c>
    </row>
    <row r="23" spans="2:12">
      <c r="C23" s="125" t="s">
        <v>508</v>
      </c>
      <c r="E23" s="172">
        <v>904</v>
      </c>
      <c r="F23" s="172">
        <v>1284</v>
      </c>
      <c r="G23" s="172">
        <v>1230</v>
      </c>
      <c r="H23" s="130">
        <f>H21*H22</f>
        <v>1259.0060800000001</v>
      </c>
      <c r="I23" s="130">
        <f t="shared" ref="I23:L23" si="12">I21*I22</f>
        <v>1296.7762624000002</v>
      </c>
      <c r="J23" s="130">
        <f t="shared" si="12"/>
        <v>1335.6795502720004</v>
      </c>
      <c r="K23" s="130">
        <f t="shared" si="12"/>
        <v>1375.7499367801604</v>
      </c>
      <c r="L23" s="130">
        <f t="shared" si="12"/>
        <v>1417.0224348835652</v>
      </c>
    </row>
    <row r="24" spans="2:12">
      <c r="C24" s="125" t="s">
        <v>509</v>
      </c>
      <c r="E24" s="627">
        <f>E19-E23</f>
        <v>2010</v>
      </c>
      <c r="F24" s="622">
        <f>F19-F23</f>
        <v>1671</v>
      </c>
      <c r="G24" s="622">
        <f>G19-G23</f>
        <v>2144</v>
      </c>
      <c r="H24" s="622">
        <f>G24*(1+Assumptions!$N$21)</f>
        <v>2229.7600000000002</v>
      </c>
      <c r="I24" s="622">
        <f>H24*(1+Assumptions!$N$21)</f>
        <v>2318.9504000000002</v>
      </c>
      <c r="J24" s="622">
        <f>I24*(1+Assumptions!$N$21)</f>
        <v>2411.7084160000004</v>
      </c>
      <c r="K24" s="622">
        <f>J24*(1+Assumptions!$N$21)</f>
        <v>2508.1767526400004</v>
      </c>
      <c r="L24" s="622">
        <f>K24*(1+Assumptions!$N$21)</f>
        <v>2608.5038227456002</v>
      </c>
    </row>
    <row r="25" spans="2:12"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</row>
  </sheetData>
  <printOptions horizontalCentered="1"/>
  <pageMargins left="0.7" right="0.7" top="0.75" bottom="0.75" header="0.3" footer="0.3"/>
  <pageSetup scale="86" fitToHeight="0" orientation="landscape" r:id="rId1"/>
  <headerFooter differentOddEven="1">
    <oddFooter>&amp;L&amp;"Arial"&amp;8Tyler Spencer&amp;C&amp;"Arial"&amp;8&amp;INot associated with PayPal. For educational purposes only.&amp;R&amp;"Arial"&amp;8Page &amp;P</oddFooter>
    <evenFooter>&amp;L&amp;"Arial"&amp;8Tyler Spencer&amp;C&amp;"Arial"&amp;8&amp;INot associated with PayPal. For educational purposes only.&amp;R&amp;"Arial"&amp;8Page &amp;P</even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3F0D-1AE4-4368-8CB0-4748413F70F2}">
  <sheetPr>
    <pageSetUpPr autoPageBreaks="0" fitToPage="1"/>
  </sheetPr>
  <dimension ref="B1:P56"/>
  <sheetViews>
    <sheetView workbookViewId="0">
      <selection activeCell="I9" sqref="I9"/>
    </sheetView>
  </sheetViews>
  <sheetFormatPr defaultColWidth="9.109375" defaultRowHeight="13.8"/>
  <cols>
    <col min="1" max="1" width="2.6640625" style="55" customWidth="1"/>
    <col min="2" max="2" width="3.6640625" style="55" customWidth="1"/>
    <col min="3" max="3" width="29.88671875" style="55" customWidth="1"/>
    <col min="4" max="4" width="6.5546875" style="55" customWidth="1"/>
    <col min="5" max="12" width="12.33203125" style="55" customWidth="1"/>
    <col min="13" max="22" width="9.109375" style="55"/>
    <col min="23" max="23" width="10.33203125" style="55" bestFit="1" customWidth="1"/>
    <col min="24" max="16384" width="9.109375" style="55"/>
  </cols>
  <sheetData>
    <row r="1" spans="2:12">
      <c r="I1" s="218"/>
      <c r="L1" s="725" t="str">
        <f>"CURRENTLY RUNNING: "&amp;UPPER(CHOOSE(Scenarios!$C$6,Scenarios!B10,Scenarios!B11,Scenarios!B12))&amp;" SCENARIO"</f>
        <v>CURRENTLY RUNNING: BASE CASE SCENARIO</v>
      </c>
    </row>
    <row r="2" spans="2:12" ht="22.8">
      <c r="B2" s="201" t="str">
        <f>Cover!$B$7</f>
        <v>PayPal</v>
      </c>
      <c r="C2" s="57"/>
      <c r="D2" s="58"/>
      <c r="E2" s="58"/>
      <c r="F2" s="58"/>
      <c r="G2" s="58"/>
      <c r="H2" s="58"/>
      <c r="I2" s="58"/>
      <c r="J2" s="58"/>
      <c r="K2" s="58"/>
      <c r="L2" s="59"/>
    </row>
    <row r="3" spans="2:12" ht="18" thickBot="1">
      <c r="B3" s="219" t="s">
        <v>92</v>
      </c>
      <c r="C3" s="3"/>
      <c r="D3" s="4"/>
      <c r="E3" s="4"/>
      <c r="F3" s="4"/>
      <c r="G3" s="4"/>
      <c r="H3" s="4"/>
      <c r="I3" s="4"/>
      <c r="J3" s="4"/>
      <c r="K3" s="4"/>
      <c r="L3" s="4"/>
    </row>
    <row r="4" spans="2:12">
      <c r="B4" s="220" t="s">
        <v>93</v>
      </c>
      <c r="C4" s="6"/>
      <c r="D4" s="74"/>
      <c r="E4" s="74"/>
      <c r="F4" s="74"/>
      <c r="G4" s="74"/>
      <c r="H4" s="74"/>
      <c r="I4" s="74"/>
      <c r="J4" s="74"/>
      <c r="K4" s="74"/>
      <c r="L4" s="74"/>
    </row>
    <row r="5" spans="2:12">
      <c r="B5" s="56"/>
      <c r="C5" s="56"/>
      <c r="D5" s="56"/>
      <c r="E5" s="56"/>
      <c r="F5" s="56"/>
      <c r="G5" s="56"/>
      <c r="H5" s="202" t="s">
        <v>94</v>
      </c>
      <c r="I5" s="75"/>
      <c r="J5" s="75"/>
      <c r="K5" s="75"/>
      <c r="L5" s="75"/>
    </row>
    <row r="6" spans="2:12">
      <c r="B6" s="56"/>
      <c r="C6" s="56"/>
      <c r="D6" s="56"/>
      <c r="E6" s="221">
        <f>F6-1</f>
        <v>2023</v>
      </c>
      <c r="F6" s="221">
        <f>G6-1</f>
        <v>2024</v>
      </c>
      <c r="G6" s="221">
        <v>2025</v>
      </c>
      <c r="H6" s="222">
        <f>G6+1</f>
        <v>2026</v>
      </c>
      <c r="I6" s="222">
        <f>H6+1</f>
        <v>2027</v>
      </c>
      <c r="J6" s="222">
        <f>I6+1</f>
        <v>2028</v>
      </c>
      <c r="K6" s="222">
        <f>J6+1</f>
        <v>2029</v>
      </c>
      <c r="L6" s="222">
        <f>K6+1</f>
        <v>2030</v>
      </c>
    </row>
    <row r="7" spans="2:12">
      <c r="B7" s="121"/>
      <c r="C7" s="56"/>
      <c r="D7" s="56"/>
      <c r="E7" s="7"/>
      <c r="F7" s="7"/>
      <c r="G7" s="7"/>
      <c r="H7" s="9"/>
      <c r="I7" s="9"/>
      <c r="J7" s="9"/>
      <c r="K7" s="10"/>
      <c r="L7" s="83"/>
    </row>
    <row r="8" spans="2:12">
      <c r="B8" s="56"/>
      <c r="C8" s="121" t="s">
        <v>95</v>
      </c>
      <c r="D8" s="56"/>
      <c r="E8" s="923">
        <v>29771</v>
      </c>
      <c r="F8" s="923">
        <v>31797</v>
      </c>
      <c r="G8" s="923">
        <v>33172</v>
      </c>
      <c r="H8" s="924">
        <f>'Revenue Build'!H11</f>
        <v>34315.686079999999</v>
      </c>
      <c r="I8" s="924">
        <f>'Revenue Build'!I11</f>
        <v>35688.888662399993</v>
      </c>
      <c r="J8" s="924">
        <f>'Revenue Build'!J11</f>
        <v>37318.555958271994</v>
      </c>
      <c r="K8" s="924">
        <f>'Revenue Build'!K11</f>
        <v>39243.381385100161</v>
      </c>
      <c r="L8" s="924">
        <f>'Revenue Build'!L11</f>
        <v>41267.005856659562</v>
      </c>
    </row>
    <row r="9" spans="2:12">
      <c r="B9" s="56"/>
      <c r="C9" s="125" t="s">
        <v>98</v>
      </c>
      <c r="D9" s="56"/>
      <c r="E9" s="175">
        <v>-14385</v>
      </c>
      <c r="F9" s="175">
        <v>-15697</v>
      </c>
      <c r="G9" s="175">
        <v>-15987</v>
      </c>
      <c r="H9" s="223">
        <f>-('Revenue Build'!H14*Assumptions!$H$28)</f>
        <v>-16886.86</v>
      </c>
      <c r="I9" s="223">
        <f>-('Revenue Build'!I14*Assumptions!$H$28)</f>
        <v>-17900.071599999999</v>
      </c>
      <c r="J9" s="223">
        <f>-('Revenue Build'!J14*Assumptions!$H$28)</f>
        <v>-18974.075896000002</v>
      </c>
      <c r="K9" s="223">
        <f>-('Revenue Build'!K14*Assumptions!$H$28)</f>
        <v>-20112.520449760003</v>
      </c>
      <c r="L9" s="223">
        <f>-('Revenue Build'!L14*Assumptions!$H$28)</f>
        <v>-21319.2716767456</v>
      </c>
    </row>
    <row r="10" spans="2:12">
      <c r="B10" s="56"/>
      <c r="C10" s="199" t="s">
        <v>99</v>
      </c>
      <c r="D10" s="56"/>
      <c r="E10" s="175">
        <v>-1682</v>
      </c>
      <c r="F10" s="175">
        <v>-1442</v>
      </c>
      <c r="G10" s="175">
        <v>-1720</v>
      </c>
      <c r="H10" s="223">
        <f>-('Revenue Build'!H14*Assumptions!$H$29)</f>
        <v>-1821.5040000000001</v>
      </c>
      <c r="I10" s="223">
        <f>-('Revenue Build'!I14*Assumptions!$H$29)</f>
        <v>-1930.7942399999999</v>
      </c>
      <c r="J10" s="223">
        <f>-('Revenue Build'!J14*Assumptions!$H$29)</f>
        <v>-2046.6418944000002</v>
      </c>
      <c r="K10" s="223">
        <f>-('Revenue Build'!K14*Assumptions!$H$29)</f>
        <v>-2169.4404080640002</v>
      </c>
      <c r="L10" s="223">
        <f>-('Revenue Build'!L14*Assumptions!$H$29)</f>
        <v>-2299.6068325478404</v>
      </c>
    </row>
    <row r="11" spans="2:12">
      <c r="B11" s="56"/>
      <c r="C11" s="199" t="s">
        <v>100</v>
      </c>
      <c r="D11" s="56"/>
      <c r="E11" s="142">
        <v>-1919</v>
      </c>
      <c r="F11" s="142">
        <v>-1768</v>
      </c>
      <c r="G11" s="142">
        <v>-1704</v>
      </c>
      <c r="H11" s="226">
        <f>-H8*Assumptions!$H$30</f>
        <v>-1750.0999900799998</v>
      </c>
      <c r="I11" s="226">
        <f>-I8*Assumptions!$H$30</f>
        <v>-1820.1333217823994</v>
      </c>
      <c r="J11" s="226">
        <f>-J8*Assumptions!$H$30</f>
        <v>-1903.2463538718716</v>
      </c>
      <c r="K11" s="226">
        <f>-K8*Assumptions!$H$30</f>
        <v>-2001.4124506401081</v>
      </c>
      <c r="L11" s="226">
        <f>-L8*Assumptions!$H$30</f>
        <v>-2104.6172986896377</v>
      </c>
    </row>
    <row r="12" spans="2:12">
      <c r="B12" s="56"/>
      <c r="C12" s="227" t="s">
        <v>3</v>
      </c>
      <c r="D12" s="56"/>
      <c r="E12" s="621">
        <f t="shared" ref="E12:L12" si="0">SUM(E8:E11)</f>
        <v>11785</v>
      </c>
      <c r="F12" s="621">
        <f t="shared" si="0"/>
        <v>12890</v>
      </c>
      <c r="G12" s="621">
        <f t="shared" si="0"/>
        <v>13761</v>
      </c>
      <c r="H12" s="621">
        <f t="shared" si="0"/>
        <v>13857.222089919998</v>
      </c>
      <c r="I12" s="621">
        <f t="shared" si="0"/>
        <v>14037.889500617595</v>
      </c>
      <c r="J12" s="621">
        <f t="shared" si="0"/>
        <v>14394.591814000121</v>
      </c>
      <c r="K12" s="621">
        <f t="shared" si="0"/>
        <v>14960.00807663605</v>
      </c>
      <c r="L12" s="621">
        <f t="shared" si="0"/>
        <v>15543.510048676482</v>
      </c>
    </row>
    <row r="13" spans="2:12">
      <c r="B13" s="56"/>
      <c r="C13" s="78"/>
      <c r="D13" s="56"/>
      <c r="E13" s="12"/>
      <c r="F13" s="12"/>
      <c r="G13" s="12"/>
      <c r="H13" s="2"/>
      <c r="I13" s="2"/>
      <c r="J13" s="2"/>
      <c r="K13" s="2"/>
      <c r="L13" s="2"/>
    </row>
    <row r="14" spans="2:12">
      <c r="B14" s="56"/>
      <c r="C14" s="199" t="s">
        <v>101</v>
      </c>
      <c r="D14" s="56"/>
      <c r="E14" s="175">
        <v>-1809</v>
      </c>
      <c r="F14" s="175">
        <v>-2001</v>
      </c>
      <c r="G14" s="175">
        <v>-2283</v>
      </c>
      <c r="H14" s="223">
        <f>-H8*Assumptions!$H$31</f>
        <v>-2367.7823395200003</v>
      </c>
      <c r="I14" s="223">
        <f>-I8*Assumptions!$H$31</f>
        <v>-2462.5333177055995</v>
      </c>
      <c r="J14" s="223">
        <f>-J8*Assumptions!$H$31</f>
        <v>-2574.9803611207676</v>
      </c>
      <c r="K14" s="223">
        <f>-K8*Assumptions!$H$31</f>
        <v>-2707.7933155719115</v>
      </c>
      <c r="L14" s="223">
        <f>-L8*Assumptions!$H$31</f>
        <v>-2847.4234041095101</v>
      </c>
    </row>
    <row r="15" spans="2:12">
      <c r="B15" s="56"/>
      <c r="C15" s="199" t="s">
        <v>102</v>
      </c>
      <c r="D15" s="56"/>
      <c r="E15" s="175">
        <v>-2973</v>
      </c>
      <c r="F15" s="175">
        <v>-2979</v>
      </c>
      <c r="G15" s="175">
        <v>-3103</v>
      </c>
      <c r="H15" s="223">
        <f>G15*(1+Assumptions!$H$32)</f>
        <v>-3196.09</v>
      </c>
      <c r="I15" s="223">
        <f>H15*(1+Assumptions!$H$32)</f>
        <v>-3291.9727000000003</v>
      </c>
      <c r="J15" s="223">
        <f>I15*(1+Assumptions!$H$32)</f>
        <v>-3390.7318810000002</v>
      </c>
      <c r="K15" s="223">
        <f>J15*(1+Assumptions!$H$32)</f>
        <v>-3492.4538374300005</v>
      </c>
      <c r="L15" s="223">
        <f>K15*(1+Assumptions!$H$32)</f>
        <v>-3597.2274525529006</v>
      </c>
    </row>
    <row r="16" spans="2:12">
      <c r="B16" s="56"/>
      <c r="C16" s="199" t="s">
        <v>103</v>
      </c>
      <c r="D16" s="56"/>
      <c r="E16" s="175">
        <v>-2059</v>
      </c>
      <c r="F16" s="175">
        <v>-2147</v>
      </c>
      <c r="G16" s="175">
        <v>-1979</v>
      </c>
      <c r="H16" s="223">
        <f>G16*(1+Assumptions!$H$33)</f>
        <v>-2018.58</v>
      </c>
      <c r="I16" s="223">
        <f>H16*(1+Assumptions!$H$33)</f>
        <v>-2058.9515999999999</v>
      </c>
      <c r="J16" s="223">
        <f>I16*(1+Assumptions!$H$33)</f>
        <v>-2100.1306319999999</v>
      </c>
      <c r="K16" s="223">
        <f>J16*(1+Assumptions!$H$33)</f>
        <v>-2142.1332446399997</v>
      </c>
      <c r="L16" s="223">
        <f>K16*(1+Assumptions!$H$33)</f>
        <v>-2184.9759095328</v>
      </c>
    </row>
    <row r="17" spans="2:12">
      <c r="B17" s="56"/>
      <c r="C17" s="199" t="s">
        <v>104</v>
      </c>
      <c r="D17" s="56"/>
      <c r="E17" s="772">
        <v>84</v>
      </c>
      <c r="F17" s="772">
        <v>-438</v>
      </c>
      <c r="G17" s="772">
        <v>-331</v>
      </c>
      <c r="H17" s="772">
        <v>0</v>
      </c>
      <c r="I17" s="772">
        <v>0</v>
      </c>
      <c r="J17" s="772">
        <v>0</v>
      </c>
      <c r="K17" s="772">
        <v>0</v>
      </c>
      <c r="L17" s="772">
        <v>0</v>
      </c>
    </row>
    <row r="18" spans="2:12">
      <c r="B18" s="56"/>
      <c r="C18" s="227" t="s">
        <v>20</v>
      </c>
      <c r="D18" s="56"/>
      <c r="E18" s="914">
        <f t="shared" ref="E18:L18" si="1">SUM(E12:E17)</f>
        <v>5028</v>
      </c>
      <c r="F18" s="914">
        <f t="shared" si="1"/>
        <v>5325</v>
      </c>
      <c r="G18" s="914">
        <f t="shared" si="1"/>
        <v>6065</v>
      </c>
      <c r="H18" s="914">
        <f t="shared" si="1"/>
        <v>6274.7697503999971</v>
      </c>
      <c r="I18" s="914">
        <f t="shared" si="1"/>
        <v>6224.4318829119948</v>
      </c>
      <c r="J18" s="914">
        <f t="shared" si="1"/>
        <v>6328.7489398793532</v>
      </c>
      <c r="K18" s="914">
        <f t="shared" si="1"/>
        <v>6617.6276789941385</v>
      </c>
      <c r="L18" s="914">
        <f t="shared" si="1"/>
        <v>6913.8832824812716</v>
      </c>
    </row>
    <row r="19" spans="2:12">
      <c r="B19" s="56"/>
      <c r="C19" s="11"/>
      <c r="D19" s="56"/>
      <c r="E19" s="14"/>
      <c r="F19" s="14"/>
      <c r="G19" s="14"/>
      <c r="H19" s="14"/>
      <c r="I19" s="14"/>
      <c r="J19" s="14"/>
      <c r="K19" s="14"/>
      <c r="L19" s="14"/>
    </row>
    <row r="20" spans="2:12">
      <c r="B20" s="56"/>
      <c r="C20" s="125" t="s">
        <v>548</v>
      </c>
      <c r="D20" s="56"/>
      <c r="E20" s="14"/>
      <c r="F20" s="14"/>
      <c r="G20" s="14"/>
      <c r="H20" s="54">
        <f>'Debt Schedule'!H39</f>
        <v>-131.27700000000004</v>
      </c>
      <c r="I20" s="54">
        <f>'Debt Schedule'!I39</f>
        <v>-88.347390020567161</v>
      </c>
      <c r="J20" s="54">
        <f>'Debt Schedule'!J39</f>
        <v>-50.059065092489959</v>
      </c>
      <c r="K20" s="54">
        <f>'Debt Schedule'!K39</f>
        <v>-8.317157663864748</v>
      </c>
      <c r="L20" s="54">
        <f>'Debt Schedule'!L39</f>
        <v>44.223401415712459</v>
      </c>
    </row>
    <row r="21" spans="2:12">
      <c r="B21" s="11"/>
      <c r="C21" s="199" t="s">
        <v>105</v>
      </c>
      <c r="D21" s="56"/>
      <c r="E21" s="225">
        <v>383</v>
      </c>
      <c r="F21" s="225">
        <v>4</v>
      </c>
      <c r="G21" s="225">
        <v>227</v>
      </c>
      <c r="H21" s="228">
        <f>AVERAGE($E$21:$G$21)</f>
        <v>204.66666666666666</v>
      </c>
      <c r="I21" s="228">
        <f>AVERAGE($E$21:$G$21)</f>
        <v>204.66666666666666</v>
      </c>
      <c r="J21" s="228">
        <f>AVERAGE($E$21:$G$21)</f>
        <v>204.66666666666666</v>
      </c>
      <c r="K21" s="228">
        <f>AVERAGE($E$21:$G$21)</f>
        <v>204.66666666666666</v>
      </c>
      <c r="L21" s="228">
        <f>AVERAGE($E$21:$G$21)</f>
        <v>204.66666666666666</v>
      </c>
    </row>
    <row r="22" spans="2:12">
      <c r="B22" s="11"/>
      <c r="C22" s="229" t="s">
        <v>96</v>
      </c>
      <c r="D22" s="56"/>
      <c r="E22" s="915">
        <f>E21+E18</f>
        <v>5411</v>
      </c>
      <c r="F22" s="915">
        <f>F21+F18</f>
        <v>5329</v>
      </c>
      <c r="G22" s="915">
        <f>G21+G18</f>
        <v>6292</v>
      </c>
      <c r="H22" s="915">
        <f>H18+H21+H20</f>
        <v>6348.159417066664</v>
      </c>
      <c r="I22" s="915">
        <f t="shared" ref="I22:L22" si="2">I18+I21+I20</f>
        <v>6340.7511595580945</v>
      </c>
      <c r="J22" s="915">
        <f t="shared" si="2"/>
        <v>6483.3565414535306</v>
      </c>
      <c r="K22" s="915">
        <f t="shared" si="2"/>
        <v>6813.9771879969403</v>
      </c>
      <c r="L22" s="915">
        <f t="shared" si="2"/>
        <v>7162.7733505636506</v>
      </c>
    </row>
    <row r="23" spans="2:12">
      <c r="B23" s="56"/>
      <c r="C23" s="13"/>
      <c r="D23" s="56"/>
      <c r="E23" s="18"/>
      <c r="F23" s="18"/>
      <c r="G23" s="56"/>
      <c r="H23" s="18"/>
      <c r="I23" s="16"/>
      <c r="J23" s="14"/>
      <c r="K23" s="14"/>
      <c r="L23" s="16"/>
    </row>
    <row r="24" spans="2:12">
      <c r="B24" s="56"/>
      <c r="C24" s="125" t="s">
        <v>106</v>
      </c>
      <c r="D24" s="56"/>
      <c r="E24" s="225">
        <v>-1165</v>
      </c>
      <c r="F24" s="225">
        <v>-1182</v>
      </c>
      <c r="G24" s="225">
        <v>-1059</v>
      </c>
      <c r="H24" s="86">
        <f>-'Income Tax Schedule'!H17</f>
        <v>-1092.788500796627</v>
      </c>
      <c r="I24" s="86">
        <f>-'Income Tax Schedule'!I17</f>
        <v>-1172.0105212203184</v>
      </c>
      <c r="J24" s="86">
        <f>-'Income Tax Schedule'!J17</f>
        <v>-1255.5844800793172</v>
      </c>
      <c r="K24" s="86">
        <f>-'Income Tax Schedule'!K17</f>
        <v>-1360.6166566079221</v>
      </c>
      <c r="L24" s="86">
        <f>-'Income Tax Schedule'!L17</f>
        <v>-1457.4992417770702</v>
      </c>
    </row>
    <row r="25" spans="2:12" ht="14.4" thickBot="1">
      <c r="B25" s="56"/>
      <c r="C25" s="231" t="s">
        <v>97</v>
      </c>
      <c r="D25" s="11"/>
      <c r="E25" s="916">
        <f t="shared" ref="E25:L25" si="3">E22+E24</f>
        <v>4246</v>
      </c>
      <c r="F25" s="916">
        <f t="shared" si="3"/>
        <v>4147</v>
      </c>
      <c r="G25" s="916">
        <f t="shared" si="3"/>
        <v>5233</v>
      </c>
      <c r="H25" s="916">
        <f>H22+H24</f>
        <v>5255.370916270037</v>
      </c>
      <c r="I25" s="916">
        <f>I22+I24</f>
        <v>5168.7406383377765</v>
      </c>
      <c r="J25" s="916">
        <f>J22+J24</f>
        <v>5227.7720613742131</v>
      </c>
      <c r="K25" s="916">
        <f t="shared" si="3"/>
        <v>5453.3605313890184</v>
      </c>
      <c r="L25" s="916">
        <f t="shared" si="3"/>
        <v>5705.2741087865807</v>
      </c>
    </row>
    <row r="26" spans="2:12" ht="14.4" thickTop="1">
      <c r="B26" s="56"/>
      <c r="C26" s="19"/>
      <c r="D26" s="11"/>
      <c r="E26" s="22"/>
      <c r="F26" s="22"/>
      <c r="G26" s="22"/>
      <c r="H26" s="22"/>
      <c r="I26" s="22"/>
      <c r="J26" s="22"/>
      <c r="K26" s="22"/>
      <c r="L26" s="22"/>
    </row>
    <row r="27" spans="2:12">
      <c r="B27" s="56"/>
      <c r="C27" s="199" t="s">
        <v>138</v>
      </c>
      <c r="D27" s="56"/>
      <c r="E27" s="142">
        <v>-1072</v>
      </c>
      <c r="F27" s="142">
        <v>-1032</v>
      </c>
      <c r="G27" s="142">
        <v>-963</v>
      </c>
      <c r="H27" s="86">
        <f>'D&amp;A Schedule'!G29</f>
        <v>-872.06521406034938</v>
      </c>
      <c r="I27" s="86">
        <f>'D&amp;A Schedule'!H29</f>
        <v>-879.88879606146872</v>
      </c>
      <c r="J27" s="86">
        <f>'D&amp;A Schedule'!I29</f>
        <v>-916.67086001573193</v>
      </c>
      <c r="K27" s="86">
        <f>'D&amp;A Schedule'!J29</f>
        <v>-927.60299120747186</v>
      </c>
      <c r="L27" s="86">
        <f>'D&amp;A Schedule'!K29</f>
        <v>-990.29189547290935</v>
      </c>
    </row>
    <row r="28" spans="2:12">
      <c r="B28" s="56"/>
      <c r="C28" s="121" t="s">
        <v>7</v>
      </c>
      <c r="D28" s="56"/>
      <c r="E28" s="915">
        <f t="shared" ref="E28:G28" si="4">E18-E27</f>
        <v>6100</v>
      </c>
      <c r="F28" s="915">
        <f t="shared" si="4"/>
        <v>6357</v>
      </c>
      <c r="G28" s="915">
        <f t="shared" si="4"/>
        <v>7028</v>
      </c>
      <c r="H28" s="915">
        <f>H18-H27</f>
        <v>7146.8349644603468</v>
      </c>
      <c r="I28" s="915">
        <f>I18-I27</f>
        <v>7104.3206789734631</v>
      </c>
      <c r="J28" s="915">
        <f>J18-J27</f>
        <v>7245.4197998950849</v>
      </c>
      <c r="K28" s="915">
        <f>K18-K27</f>
        <v>7545.2306702016103</v>
      </c>
      <c r="L28" s="915">
        <f>L18-L27</f>
        <v>7904.175177954181</v>
      </c>
    </row>
    <row r="29" spans="2:12">
      <c r="B29" s="56"/>
      <c r="C29" s="11"/>
      <c r="D29" s="56"/>
      <c r="E29" s="14"/>
      <c r="F29" s="14"/>
      <c r="G29" s="14"/>
      <c r="H29" s="14"/>
      <c r="I29" s="14"/>
      <c r="J29" s="14"/>
      <c r="K29" s="14"/>
      <c r="L29" s="14"/>
    </row>
    <row r="30" spans="2:12">
      <c r="B30" s="56"/>
      <c r="C30" s="199" t="s">
        <v>147</v>
      </c>
      <c r="D30" s="56"/>
      <c r="E30" s="142">
        <v>1145</v>
      </c>
      <c r="F30" s="142">
        <v>1326</v>
      </c>
      <c r="G30" s="142">
        <v>1135</v>
      </c>
      <c r="H30" s="228">
        <f>H8*Assumptions!$H$34</f>
        <v>1166.7333267200002</v>
      </c>
      <c r="I30" s="228">
        <f>I8*Assumptions!$H$34</f>
        <v>1213.4222145215999</v>
      </c>
      <c r="J30" s="228">
        <f>J8*Assumptions!$H$34</f>
        <v>1268.830902581248</v>
      </c>
      <c r="K30" s="228">
        <f>K8*Assumptions!$H$34</f>
        <v>1334.2749670934056</v>
      </c>
      <c r="L30" s="228">
        <f>L8*Assumptions!$H$34</f>
        <v>1403.0781991264253</v>
      </c>
    </row>
    <row r="31" spans="2:12">
      <c r="B31" s="21"/>
      <c r="C31" s="121" t="s">
        <v>235</v>
      </c>
      <c r="D31" s="56"/>
      <c r="E31" s="162"/>
      <c r="F31" s="162"/>
      <c r="G31" s="162"/>
      <c r="H31" s="915">
        <f>H28+H30</f>
        <v>8313.5682911803469</v>
      </c>
      <c r="I31" s="915">
        <f t="shared" ref="I31:L31" si="5">I28+I30</f>
        <v>8317.7428934950622</v>
      </c>
      <c r="J31" s="915">
        <f t="shared" si="5"/>
        <v>8514.2507024763327</v>
      </c>
      <c r="K31" s="915">
        <f t="shared" si="5"/>
        <v>8879.5056372950166</v>
      </c>
      <c r="L31" s="915">
        <f t="shared" si="5"/>
        <v>9307.2533770806058</v>
      </c>
    </row>
    <row r="32" spans="2:12">
      <c r="B32" s="56"/>
      <c r="C32" s="56"/>
      <c r="D32" s="56"/>
      <c r="E32" s="87"/>
      <c r="F32" s="87"/>
      <c r="G32" s="280"/>
      <c r="H32" s="280"/>
      <c r="I32" s="280"/>
      <c r="J32" s="280"/>
      <c r="K32" s="280"/>
      <c r="L32" s="56"/>
    </row>
    <row r="33" spans="2:13">
      <c r="B33" s="233" t="s">
        <v>223</v>
      </c>
      <c r="C33" s="88"/>
      <c r="D33" s="88"/>
      <c r="E33" s="89"/>
      <c r="F33" s="89"/>
      <c r="G33" s="89"/>
      <c r="H33" s="89"/>
      <c r="I33" s="89"/>
      <c r="J33" s="89"/>
      <c r="K33" s="89"/>
      <c r="L33" s="90"/>
    </row>
    <row r="34" spans="2:13">
      <c r="B34" s="25"/>
      <c r="C34" s="125" t="s">
        <v>207</v>
      </c>
      <c r="D34" s="56"/>
      <c r="E34" s="87"/>
      <c r="F34" s="234">
        <f>(F8/E8)-1</f>
        <v>6.8052803063383793E-2</v>
      </c>
      <c r="G34" s="234">
        <f t="shared" ref="G34:L34" si="6">(G8/F8)-1</f>
        <v>4.3243073245903707E-2</v>
      </c>
      <c r="H34" s="234">
        <f t="shared" si="6"/>
        <v>3.4477453273845438E-2</v>
      </c>
      <c r="I34" s="234">
        <f t="shared" si="6"/>
        <v>4.0016760241909477E-2</v>
      </c>
      <c r="J34" s="234">
        <f t="shared" si="6"/>
        <v>4.5663156151705353E-2</v>
      </c>
      <c r="K34" s="234">
        <f t="shared" si="6"/>
        <v>5.1578239763093281E-2</v>
      </c>
      <c r="L34" s="235">
        <f t="shared" si="6"/>
        <v>5.1566006805104925E-2</v>
      </c>
    </row>
    <row r="35" spans="2:13">
      <c r="B35" s="25"/>
      <c r="C35" s="125" t="s">
        <v>211</v>
      </c>
      <c r="D35" s="56"/>
      <c r="E35" s="234">
        <f t="shared" ref="E35:L35" si="7">-(E9/E8)</f>
        <v>0.48318833764401597</v>
      </c>
      <c r="F35" s="234">
        <f t="shared" si="7"/>
        <v>0.49366292417523666</v>
      </c>
      <c r="G35" s="234">
        <f t="shared" si="7"/>
        <v>0.48194260219462198</v>
      </c>
      <c r="H35" s="234">
        <f t="shared" si="7"/>
        <v>0.49210323117631227</v>
      </c>
      <c r="I35" s="234">
        <f t="shared" si="7"/>
        <v>0.50155867192520931</v>
      </c>
      <c r="J35" s="234">
        <f t="shared" si="7"/>
        <v>0.50843542599065195</v>
      </c>
      <c r="K35" s="234">
        <f t="shared" si="7"/>
        <v>0.51250732581867364</v>
      </c>
      <c r="L35" s="235">
        <f t="shared" si="7"/>
        <v>0.51661784600505856</v>
      </c>
    </row>
    <row r="36" spans="2:13">
      <c r="B36" s="25"/>
      <c r="C36" s="125" t="s">
        <v>212</v>
      </c>
      <c r="D36" s="56"/>
      <c r="E36" s="234">
        <f t="shared" ref="E36:L36" si="8">-(E10/E8)</f>
        <v>5.6497934231298917E-2</v>
      </c>
      <c r="F36" s="234">
        <f t="shared" si="8"/>
        <v>4.5350190269522285E-2</v>
      </c>
      <c r="G36" s="234">
        <f t="shared" si="8"/>
        <v>5.1850958639816716E-2</v>
      </c>
      <c r="H36" s="234">
        <f t="shared" si="8"/>
        <v>5.3080797969579749E-2</v>
      </c>
      <c r="I36" s="234">
        <f t="shared" si="8"/>
        <v>5.4100710679573137E-2</v>
      </c>
      <c r="J36" s="234">
        <f t="shared" si="8"/>
        <v>5.4842472915845597E-2</v>
      </c>
      <c r="K36" s="234">
        <f t="shared" si="8"/>
        <v>5.5281689077070421E-2</v>
      </c>
      <c r="L36" s="235">
        <f t="shared" si="8"/>
        <v>5.5725071029759141E-2</v>
      </c>
    </row>
    <row r="37" spans="2:13">
      <c r="B37" s="25"/>
      <c r="C37" s="125" t="s">
        <v>213</v>
      </c>
      <c r="D37" s="56"/>
      <c r="E37" s="91"/>
      <c r="F37" s="234">
        <f t="shared" ref="F37:L37" si="9">(F11/E11)-1</f>
        <v>-7.8686816050026032E-2</v>
      </c>
      <c r="G37" s="234">
        <f t="shared" si="9"/>
        <v>-3.6199095022624417E-2</v>
      </c>
      <c r="H37" s="234">
        <f t="shared" si="9"/>
        <v>2.7053984788732333E-2</v>
      </c>
      <c r="I37" s="234">
        <f t="shared" si="9"/>
        <v>4.0016760241909477E-2</v>
      </c>
      <c r="J37" s="234">
        <f t="shared" si="9"/>
        <v>4.5663156151705575E-2</v>
      </c>
      <c r="K37" s="234">
        <f t="shared" si="9"/>
        <v>5.1578239763093281E-2</v>
      </c>
      <c r="L37" s="235">
        <f t="shared" si="9"/>
        <v>5.1566006805104925E-2</v>
      </c>
    </row>
    <row r="38" spans="2:13">
      <c r="B38" s="25"/>
      <c r="C38" s="125" t="s">
        <v>215</v>
      </c>
      <c r="D38" s="56"/>
      <c r="E38" s="91"/>
      <c r="F38" s="234">
        <f t="shared" ref="F38:L40" si="10">(F14/E14)-1</f>
        <v>0.10613598673300162</v>
      </c>
      <c r="G38" s="234">
        <f t="shared" si="10"/>
        <v>0.14092953523238383</v>
      </c>
      <c r="H38" s="234">
        <f t="shared" si="10"/>
        <v>3.7136372982917276E-2</v>
      </c>
      <c r="I38" s="234">
        <f t="shared" si="10"/>
        <v>4.0016760241909477E-2</v>
      </c>
      <c r="J38" s="234">
        <f t="shared" si="10"/>
        <v>4.5663156151705353E-2</v>
      </c>
      <c r="K38" s="234">
        <f t="shared" si="10"/>
        <v>5.1578239763093503E-2</v>
      </c>
      <c r="L38" s="235">
        <f t="shared" si="10"/>
        <v>5.1566006805104925E-2</v>
      </c>
    </row>
    <row r="39" spans="2:13">
      <c r="B39" s="25"/>
      <c r="C39" s="125" t="s">
        <v>583</v>
      </c>
      <c r="D39" s="56"/>
      <c r="E39" s="91"/>
      <c r="F39" s="234">
        <f t="shared" si="10"/>
        <v>2.0181634712410634E-3</v>
      </c>
      <c r="G39" s="234">
        <f t="shared" si="10"/>
        <v>4.1624706277274326E-2</v>
      </c>
      <c r="H39" s="234">
        <f t="shared" si="10"/>
        <v>3.0000000000000027E-2</v>
      </c>
      <c r="I39" s="234">
        <f t="shared" si="10"/>
        <v>3.0000000000000027E-2</v>
      </c>
      <c r="J39" s="234">
        <f t="shared" si="10"/>
        <v>3.0000000000000027E-2</v>
      </c>
      <c r="K39" s="234">
        <f t="shared" si="10"/>
        <v>3.0000000000000027E-2</v>
      </c>
      <c r="L39" s="235">
        <f t="shared" si="10"/>
        <v>3.0000000000000027E-2</v>
      </c>
    </row>
    <row r="40" spans="2:13">
      <c r="B40" s="25"/>
      <c r="C40" s="125" t="s">
        <v>216</v>
      </c>
      <c r="D40" s="56"/>
      <c r="E40" s="91"/>
      <c r="F40" s="234">
        <f t="shared" si="10"/>
        <v>4.2739193783390084E-2</v>
      </c>
      <c r="G40" s="234">
        <f t="shared" si="10"/>
        <v>-7.8248719142990253E-2</v>
      </c>
      <c r="H40" s="234">
        <f t="shared" si="10"/>
        <v>2.0000000000000018E-2</v>
      </c>
      <c r="I40" s="234">
        <f t="shared" si="10"/>
        <v>2.0000000000000018E-2</v>
      </c>
      <c r="J40" s="234">
        <f t="shared" si="10"/>
        <v>2.0000000000000018E-2</v>
      </c>
      <c r="K40" s="234">
        <f t="shared" si="10"/>
        <v>2.0000000000000018E-2</v>
      </c>
      <c r="L40" s="235">
        <f t="shared" si="10"/>
        <v>2.0000000000000018E-2</v>
      </c>
    </row>
    <row r="41" spans="2:13">
      <c r="B41" s="25"/>
      <c r="C41" s="125" t="s">
        <v>217</v>
      </c>
      <c r="D41" s="56"/>
      <c r="E41" s="91"/>
      <c r="F41" s="91"/>
      <c r="G41" s="91"/>
      <c r="H41" s="91"/>
      <c r="I41" s="91"/>
      <c r="J41" s="91"/>
      <c r="K41" s="91"/>
      <c r="L41" s="92"/>
    </row>
    <row r="42" spans="2:13">
      <c r="B42" s="25"/>
      <c r="C42" s="125" t="s">
        <v>110</v>
      </c>
      <c r="D42" s="56"/>
      <c r="E42" s="236">
        <f t="shared" ref="E42:L42" si="11">E12/E8</f>
        <v>0.39585502670383932</v>
      </c>
      <c r="F42" s="236">
        <f t="shared" si="11"/>
        <v>0.40538415573796271</v>
      </c>
      <c r="G42" s="236">
        <f t="shared" si="11"/>
        <v>0.41483781502471967</v>
      </c>
      <c r="H42" s="236">
        <f t="shared" si="11"/>
        <v>0.40381597085410798</v>
      </c>
      <c r="I42" s="236">
        <f t="shared" si="11"/>
        <v>0.39334061739521758</v>
      </c>
      <c r="J42" s="236">
        <f t="shared" si="11"/>
        <v>0.38572210109350252</v>
      </c>
      <c r="K42" s="236">
        <f t="shared" si="11"/>
        <v>0.38121098510425588</v>
      </c>
      <c r="L42" s="237">
        <f t="shared" si="11"/>
        <v>0.37665708296518224</v>
      </c>
    </row>
    <row r="43" spans="2:13">
      <c r="B43" s="93"/>
      <c r="C43" s="125" t="s">
        <v>107</v>
      </c>
      <c r="D43" s="56"/>
      <c r="E43" s="236">
        <f t="shared" ref="E43:L43" si="12">E28/E8</f>
        <v>0.2048973833596453</v>
      </c>
      <c r="F43" s="236">
        <f t="shared" si="12"/>
        <v>0.19992452118124351</v>
      </c>
      <c r="G43" s="236">
        <f t="shared" si="12"/>
        <v>0.21186542867478597</v>
      </c>
      <c r="H43" s="236">
        <f t="shared" si="12"/>
        <v>0.20826729058538895</v>
      </c>
      <c r="I43" s="236">
        <f t="shared" si="12"/>
        <v>0.19906253585470191</v>
      </c>
      <c r="J43" s="236">
        <f t="shared" si="12"/>
        <v>0.19415059382245664</v>
      </c>
      <c r="K43" s="236">
        <f t="shared" si="12"/>
        <v>0.19226759784431743</v>
      </c>
      <c r="L43" s="237">
        <f t="shared" si="12"/>
        <v>0.19153740412883929</v>
      </c>
      <c r="M43" s="23"/>
    </row>
    <row r="44" spans="2:13">
      <c r="B44" s="93"/>
      <c r="C44" s="125" t="s">
        <v>108</v>
      </c>
      <c r="D44" s="56"/>
      <c r="E44" s="236">
        <f t="shared" ref="E44:L44" si="13">E18/E8</f>
        <v>0.16888918746431092</v>
      </c>
      <c r="F44" s="236">
        <f t="shared" si="13"/>
        <v>0.16746862911595434</v>
      </c>
      <c r="G44" s="236">
        <f t="shared" si="13"/>
        <v>0.1828349210177258</v>
      </c>
      <c r="H44" s="236">
        <f t="shared" si="13"/>
        <v>0.18285427066128462</v>
      </c>
      <c r="I44" s="236">
        <f t="shared" si="13"/>
        <v>0.17440811737771317</v>
      </c>
      <c r="J44" s="236">
        <f t="shared" si="13"/>
        <v>0.16958718732192876</v>
      </c>
      <c r="K44" s="236">
        <f t="shared" si="13"/>
        <v>0.16863041474572588</v>
      </c>
      <c r="L44" s="237">
        <f t="shared" si="13"/>
        <v>0.16754022103024777</v>
      </c>
    </row>
    <row r="45" spans="2:13">
      <c r="B45" s="94"/>
      <c r="C45" s="238" t="s">
        <v>109</v>
      </c>
      <c r="D45" s="95"/>
      <c r="E45" s="24"/>
      <c r="F45" s="24"/>
      <c r="G45" s="50"/>
      <c r="H45" s="239">
        <f>IS!H25/BS!H44</f>
        <v>0.24776891694305481</v>
      </c>
      <c r="I45" s="239">
        <f>IS!I25/BS!I44</f>
        <v>0.23310460579849879</v>
      </c>
      <c r="J45" s="239">
        <f>IS!J25/BS!J44</f>
        <v>0.22438235788626151</v>
      </c>
      <c r="K45" s="239">
        <f>IS!K25/BS!K44</f>
        <v>0.22022728636236891</v>
      </c>
      <c r="L45" s="240">
        <f>IS!L25/BS!L44</f>
        <v>0.21452488320955138</v>
      </c>
    </row>
    <row r="46" spans="2:13">
      <c r="B46" s="195"/>
      <c r="C46" s="195"/>
      <c r="D46" s="195"/>
      <c r="E46" s="195"/>
      <c r="F46" s="195"/>
      <c r="G46" s="195"/>
      <c r="H46" s="195"/>
      <c r="I46" s="195"/>
      <c r="J46" s="195"/>
      <c r="K46" s="195"/>
      <c r="L46" s="195"/>
    </row>
    <row r="55" spans="15:16">
      <c r="O55" s="61"/>
      <c r="P55" s="61"/>
    </row>
    <row r="56" spans="15:16">
      <c r="O56" s="61"/>
      <c r="P56" s="61"/>
    </row>
  </sheetData>
  <printOptions horizontalCentered="1"/>
  <pageMargins left="0.7" right="0.7" top="0.75" bottom="0.75" header="0.3" footer="0.3"/>
  <pageSetup scale="86" fitToHeight="0" orientation="landscape" r:id="rId1"/>
  <headerFooter differentOddEven="1">
    <oddFooter>&amp;L&amp;"Arial"&amp;8Tyler Spencer&amp;C&amp;"Arial"&amp;8&amp;INot associated with PayPal. For educational purposes only.&amp;R&amp;"Arial"&amp;8Page &amp;P</oddFooter>
    <evenFooter>&amp;L&amp;"Arial"&amp;8Tyler Spencer&amp;C&amp;"Arial"&amp;8&amp;INot associated with PayPal. For educational purposes only.&amp;R&amp;"Arial"&amp;8Page &amp;P</evenFooter>
  </headerFooter>
  <rowBreaks count="1" manualBreakCount="1">
    <brk id="31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4996A-0802-4B0A-8BC5-33BD1B37F611}">
  <sheetPr>
    <pageSetUpPr fitToPage="1"/>
  </sheetPr>
  <dimension ref="A1:HN114"/>
  <sheetViews>
    <sheetView topLeftCell="A32" workbookViewId="0">
      <selection activeCell="I9" sqref="I9"/>
    </sheetView>
  </sheetViews>
  <sheetFormatPr defaultColWidth="9.109375" defaultRowHeight="13.8"/>
  <cols>
    <col min="1" max="1" width="2.6640625" style="69" customWidth="1"/>
    <col min="2" max="2" width="3.6640625" style="69" customWidth="1"/>
    <col min="3" max="3" width="29.88671875" style="69" customWidth="1"/>
    <col min="4" max="4" width="6.5546875" style="69" customWidth="1"/>
    <col min="5" max="12" width="12.33203125" style="69" customWidth="1"/>
    <col min="13" max="16384" width="9.109375" style="69"/>
  </cols>
  <sheetData>
    <row r="1" spans="1:222">
      <c r="A1" s="55"/>
      <c r="B1" s="56"/>
      <c r="C1" s="56"/>
      <c r="D1" s="56"/>
      <c r="E1" s="56"/>
      <c r="F1" s="56"/>
      <c r="G1" s="56"/>
      <c r="H1" s="56"/>
      <c r="I1" s="218"/>
      <c r="J1" s="55"/>
      <c r="K1" s="55"/>
      <c r="L1" s="725" t="str">
        <f>"CURRENTLY RUNNING: "&amp;UPPER(CHOOSE(Scenarios!$C$6,Scenarios!B10,Scenarios!B11,Scenarios!B12))&amp;" SCENARIO"</f>
        <v>CURRENTLY RUNNING: BASE CASE SCENARIO</v>
      </c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5"/>
      <c r="EQ1" s="55"/>
      <c r="ER1" s="55"/>
      <c r="ES1" s="55"/>
      <c r="ET1" s="55"/>
      <c r="EU1" s="55"/>
      <c r="EV1" s="55"/>
      <c r="EW1" s="55"/>
      <c r="EX1" s="55"/>
      <c r="EY1" s="55"/>
      <c r="EZ1" s="55"/>
      <c r="FA1" s="55"/>
      <c r="FB1" s="55"/>
      <c r="FC1" s="55"/>
      <c r="FD1" s="55"/>
      <c r="FE1" s="55"/>
      <c r="FF1" s="55"/>
      <c r="FG1" s="55"/>
      <c r="FH1" s="55"/>
      <c r="FI1" s="55"/>
      <c r="FJ1" s="55"/>
      <c r="FK1" s="55"/>
      <c r="FL1" s="55"/>
      <c r="FM1" s="55"/>
      <c r="FN1" s="55"/>
      <c r="FO1" s="55"/>
      <c r="FP1" s="55"/>
      <c r="FQ1" s="55"/>
      <c r="FR1" s="55"/>
      <c r="FS1" s="55"/>
      <c r="FT1" s="55"/>
      <c r="FU1" s="55"/>
      <c r="FV1" s="55"/>
      <c r="FW1" s="55"/>
      <c r="FX1" s="55"/>
      <c r="FY1" s="55"/>
      <c r="FZ1" s="55"/>
      <c r="GA1" s="55"/>
      <c r="GB1" s="55"/>
      <c r="GC1" s="55"/>
      <c r="GD1" s="55"/>
      <c r="GE1" s="55"/>
      <c r="GF1" s="55"/>
      <c r="GG1" s="55"/>
      <c r="GH1" s="55"/>
      <c r="GI1" s="55"/>
      <c r="GJ1" s="55"/>
      <c r="GK1" s="55"/>
      <c r="GL1" s="55"/>
      <c r="GM1" s="55"/>
      <c r="GN1" s="55"/>
      <c r="GO1" s="55"/>
      <c r="GP1" s="55"/>
      <c r="GQ1" s="55"/>
      <c r="GR1" s="55"/>
      <c r="GS1" s="55"/>
      <c r="GT1" s="55"/>
      <c r="GU1" s="55"/>
      <c r="GV1" s="55"/>
      <c r="GW1" s="55"/>
      <c r="GX1" s="55"/>
      <c r="GY1" s="55"/>
      <c r="GZ1" s="55"/>
      <c r="HA1" s="55"/>
      <c r="HB1" s="55"/>
      <c r="HC1" s="55"/>
      <c r="HD1" s="55"/>
      <c r="HE1" s="55"/>
      <c r="HF1" s="55"/>
      <c r="HG1" s="55"/>
      <c r="HH1" s="55"/>
      <c r="HI1" s="55"/>
      <c r="HJ1" s="55"/>
      <c r="HK1" s="55"/>
      <c r="HL1" s="55"/>
      <c r="HM1" s="55"/>
      <c r="HN1" s="55"/>
    </row>
    <row r="2" spans="1:222" ht="22.8">
      <c r="A2" s="55"/>
      <c r="B2" s="201" t="str">
        <f>Cover!$B$7</f>
        <v>PayPal</v>
      </c>
      <c r="C2" s="57"/>
      <c r="D2" s="58"/>
      <c r="E2" s="58"/>
      <c r="F2" s="58"/>
      <c r="G2" s="58"/>
      <c r="H2" s="58"/>
      <c r="I2" s="58"/>
      <c r="J2" s="58"/>
      <c r="K2" s="58"/>
      <c r="L2" s="59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5"/>
      <c r="DX2" s="55"/>
      <c r="DY2" s="55"/>
      <c r="DZ2" s="55"/>
      <c r="EA2" s="55"/>
      <c r="EB2" s="55"/>
      <c r="EC2" s="55"/>
      <c r="ED2" s="55"/>
      <c r="EE2" s="55"/>
      <c r="EF2" s="55"/>
      <c r="EG2" s="55"/>
      <c r="EH2" s="55"/>
      <c r="EI2" s="55"/>
      <c r="EJ2" s="55"/>
      <c r="EK2" s="55"/>
      <c r="EL2" s="55"/>
      <c r="EM2" s="55"/>
      <c r="EN2" s="55"/>
      <c r="EO2" s="55"/>
      <c r="EP2" s="55"/>
      <c r="EQ2" s="55"/>
      <c r="ER2" s="55"/>
      <c r="ES2" s="55"/>
      <c r="ET2" s="55"/>
      <c r="EU2" s="55"/>
      <c r="EV2" s="55"/>
      <c r="EW2" s="55"/>
      <c r="EX2" s="55"/>
      <c r="EY2" s="55"/>
      <c r="EZ2" s="55"/>
      <c r="FA2" s="55"/>
      <c r="FB2" s="55"/>
      <c r="FC2" s="55"/>
      <c r="FD2" s="55"/>
      <c r="FE2" s="55"/>
      <c r="FF2" s="55"/>
      <c r="FG2" s="55"/>
      <c r="FH2" s="55"/>
      <c r="FI2" s="55"/>
      <c r="FJ2" s="55"/>
      <c r="FK2" s="55"/>
      <c r="FL2" s="55"/>
      <c r="FM2" s="55"/>
      <c r="FN2" s="55"/>
      <c r="FO2" s="55"/>
      <c r="FP2" s="55"/>
      <c r="FQ2" s="55"/>
      <c r="FR2" s="55"/>
      <c r="FS2" s="55"/>
      <c r="FT2" s="55"/>
      <c r="FU2" s="55"/>
      <c r="FV2" s="55"/>
      <c r="FW2" s="55"/>
      <c r="FX2" s="55"/>
      <c r="FY2" s="55"/>
      <c r="FZ2" s="55"/>
      <c r="GA2" s="55"/>
      <c r="GB2" s="55"/>
      <c r="GC2" s="55"/>
      <c r="GD2" s="55"/>
      <c r="GE2" s="55"/>
      <c r="GF2" s="55"/>
      <c r="GG2" s="55"/>
      <c r="GH2" s="55"/>
      <c r="GI2" s="55"/>
      <c r="GJ2" s="55"/>
      <c r="GK2" s="55"/>
      <c r="GL2" s="55"/>
      <c r="GM2" s="55"/>
      <c r="GN2" s="55"/>
      <c r="GO2" s="55"/>
      <c r="GP2" s="55"/>
      <c r="GQ2" s="55"/>
      <c r="GR2" s="55"/>
      <c r="GS2" s="55"/>
      <c r="GT2" s="55"/>
      <c r="GU2" s="55"/>
      <c r="GV2" s="55"/>
      <c r="GW2" s="55"/>
      <c r="GX2" s="55"/>
      <c r="GY2" s="55"/>
      <c r="GZ2" s="55"/>
      <c r="HA2" s="55"/>
      <c r="HB2" s="55"/>
      <c r="HC2" s="55"/>
      <c r="HD2" s="55"/>
      <c r="HE2" s="55"/>
      <c r="HF2" s="55"/>
      <c r="HG2" s="55"/>
      <c r="HH2" s="55"/>
      <c r="HI2" s="55"/>
      <c r="HJ2" s="55"/>
      <c r="HK2" s="55"/>
      <c r="HL2" s="55"/>
      <c r="HM2" s="55"/>
      <c r="HN2" s="55"/>
    </row>
    <row r="3" spans="1:222" ht="18" thickBot="1">
      <c r="A3" s="55"/>
      <c r="B3" s="219" t="s">
        <v>111</v>
      </c>
      <c r="C3" s="3"/>
      <c r="D3" s="4"/>
      <c r="E3" s="4"/>
      <c r="F3" s="4"/>
      <c r="G3" s="4"/>
      <c r="H3" s="4"/>
      <c r="I3" s="4"/>
      <c r="J3" s="4"/>
      <c r="K3" s="4"/>
      <c r="L3" s="4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55"/>
      <c r="BS3" s="55"/>
      <c r="BT3" s="55"/>
      <c r="BU3" s="55"/>
      <c r="BV3" s="55"/>
      <c r="BW3" s="55"/>
      <c r="BX3" s="55"/>
      <c r="BY3" s="55"/>
      <c r="BZ3" s="55"/>
      <c r="CA3" s="55"/>
      <c r="CB3" s="55"/>
      <c r="CC3" s="55"/>
      <c r="CD3" s="55"/>
      <c r="CE3" s="55"/>
      <c r="CF3" s="55"/>
      <c r="CG3" s="55"/>
      <c r="CH3" s="55"/>
      <c r="CI3" s="55"/>
      <c r="CJ3" s="55"/>
      <c r="CK3" s="55"/>
      <c r="CL3" s="55"/>
      <c r="CM3" s="55"/>
      <c r="CN3" s="55"/>
      <c r="CO3" s="55"/>
      <c r="CP3" s="55"/>
      <c r="CQ3" s="55"/>
      <c r="CR3" s="55"/>
      <c r="CS3" s="55"/>
      <c r="CT3" s="55"/>
      <c r="CU3" s="55"/>
      <c r="CV3" s="55"/>
      <c r="CW3" s="55"/>
      <c r="CX3" s="55"/>
      <c r="CY3" s="55"/>
      <c r="CZ3" s="55"/>
      <c r="DA3" s="55"/>
      <c r="DB3" s="55"/>
      <c r="DC3" s="55"/>
      <c r="DD3" s="55"/>
      <c r="DE3" s="55"/>
      <c r="DF3" s="55"/>
      <c r="DG3" s="55"/>
      <c r="DH3" s="55"/>
      <c r="DI3" s="55"/>
      <c r="DJ3" s="55"/>
      <c r="DK3" s="55"/>
      <c r="DL3" s="55"/>
      <c r="DM3" s="55"/>
      <c r="DN3" s="55"/>
      <c r="DO3" s="55"/>
      <c r="DP3" s="55"/>
      <c r="DQ3" s="55"/>
      <c r="DR3" s="55"/>
      <c r="DS3" s="55"/>
      <c r="DT3" s="55"/>
      <c r="DU3" s="55"/>
      <c r="DV3" s="55"/>
      <c r="DW3" s="55"/>
      <c r="DX3" s="55"/>
      <c r="DY3" s="55"/>
      <c r="DZ3" s="55"/>
      <c r="EA3" s="55"/>
      <c r="EB3" s="55"/>
      <c r="EC3" s="55"/>
      <c r="ED3" s="55"/>
      <c r="EE3" s="55"/>
      <c r="EF3" s="55"/>
      <c r="EG3" s="55"/>
      <c r="EH3" s="55"/>
      <c r="EI3" s="55"/>
      <c r="EJ3" s="55"/>
      <c r="EK3" s="55"/>
      <c r="EL3" s="55"/>
      <c r="EM3" s="55"/>
      <c r="EN3" s="55"/>
      <c r="EO3" s="55"/>
      <c r="EP3" s="55"/>
      <c r="EQ3" s="55"/>
      <c r="ER3" s="55"/>
      <c r="ES3" s="55"/>
      <c r="ET3" s="55"/>
      <c r="EU3" s="55"/>
      <c r="EV3" s="55"/>
      <c r="EW3" s="55"/>
      <c r="EX3" s="55"/>
      <c r="EY3" s="55"/>
      <c r="EZ3" s="55"/>
      <c r="FA3" s="55"/>
      <c r="FB3" s="55"/>
      <c r="FC3" s="55"/>
      <c r="FD3" s="55"/>
      <c r="FE3" s="55"/>
      <c r="FF3" s="55"/>
      <c r="FG3" s="55"/>
      <c r="FH3" s="55"/>
      <c r="FI3" s="55"/>
      <c r="FJ3" s="55"/>
      <c r="FK3" s="55"/>
      <c r="FL3" s="55"/>
      <c r="FM3" s="55"/>
      <c r="FN3" s="55"/>
      <c r="FO3" s="55"/>
      <c r="FP3" s="55"/>
      <c r="FQ3" s="55"/>
      <c r="FR3" s="55"/>
      <c r="FS3" s="55"/>
      <c r="FT3" s="55"/>
      <c r="FU3" s="55"/>
      <c r="FV3" s="55"/>
      <c r="FW3" s="55"/>
      <c r="FX3" s="55"/>
      <c r="FY3" s="55"/>
      <c r="FZ3" s="55"/>
      <c r="GA3" s="55"/>
      <c r="GB3" s="55"/>
      <c r="GC3" s="55"/>
      <c r="GD3" s="55"/>
      <c r="GE3" s="55"/>
      <c r="GF3" s="55"/>
      <c r="GG3" s="55"/>
      <c r="GH3" s="55"/>
      <c r="GI3" s="55"/>
      <c r="GJ3" s="55"/>
      <c r="GK3" s="55"/>
      <c r="GL3" s="55"/>
      <c r="GM3" s="55"/>
      <c r="GN3" s="55"/>
      <c r="GO3" s="55"/>
      <c r="GP3" s="55"/>
      <c r="GQ3" s="55"/>
      <c r="GR3" s="55"/>
      <c r="GS3" s="55"/>
      <c r="GT3" s="55"/>
      <c r="GU3" s="55"/>
      <c r="GV3" s="55"/>
      <c r="GW3" s="55"/>
      <c r="GX3" s="55"/>
      <c r="GY3" s="55"/>
      <c r="GZ3" s="55"/>
      <c r="HA3" s="55"/>
      <c r="HB3" s="55"/>
      <c r="HC3" s="55"/>
      <c r="HD3" s="55"/>
      <c r="HE3" s="55"/>
      <c r="HF3" s="55"/>
      <c r="HG3" s="55"/>
      <c r="HH3" s="55"/>
      <c r="HI3" s="55"/>
      <c r="HJ3" s="55"/>
      <c r="HK3" s="55"/>
      <c r="HL3" s="55"/>
      <c r="HM3" s="55"/>
      <c r="HN3" s="55"/>
    </row>
    <row r="4" spans="1:222">
      <c r="A4" s="55"/>
      <c r="B4" s="220" t="s">
        <v>93</v>
      </c>
      <c r="C4" s="56"/>
      <c r="D4" s="56"/>
      <c r="E4" s="56"/>
      <c r="F4" s="56"/>
      <c r="G4" s="56"/>
      <c r="H4" s="56"/>
      <c r="I4" s="56"/>
      <c r="J4" s="56"/>
      <c r="K4" s="56"/>
      <c r="L4" s="77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55"/>
      <c r="CB4" s="55"/>
      <c r="CC4" s="55"/>
      <c r="CD4" s="55"/>
      <c r="CE4" s="55"/>
      <c r="CF4" s="55"/>
      <c r="CG4" s="55"/>
      <c r="CH4" s="55"/>
      <c r="CI4" s="55"/>
      <c r="CJ4" s="55"/>
      <c r="CK4" s="55"/>
      <c r="CL4" s="55"/>
      <c r="CM4" s="55"/>
      <c r="CN4" s="55"/>
      <c r="CO4" s="55"/>
      <c r="CP4" s="55"/>
      <c r="CQ4" s="55"/>
      <c r="CR4" s="55"/>
      <c r="CS4" s="55"/>
      <c r="CT4" s="55"/>
      <c r="CU4" s="55"/>
      <c r="CV4" s="55"/>
      <c r="CW4" s="55"/>
      <c r="CX4" s="55"/>
      <c r="CY4" s="55"/>
      <c r="CZ4" s="55"/>
      <c r="DA4" s="55"/>
      <c r="DB4" s="55"/>
      <c r="DC4" s="55"/>
      <c r="DD4" s="55"/>
      <c r="DE4" s="55"/>
      <c r="DF4" s="55"/>
      <c r="DG4" s="55"/>
      <c r="DH4" s="55"/>
      <c r="DI4" s="55"/>
      <c r="DJ4" s="55"/>
      <c r="DK4" s="55"/>
      <c r="DL4" s="55"/>
      <c r="DM4" s="55"/>
      <c r="DN4" s="55"/>
      <c r="DO4" s="55"/>
      <c r="DP4" s="55"/>
      <c r="DQ4" s="55"/>
      <c r="DR4" s="55"/>
      <c r="DS4" s="55"/>
      <c r="DT4" s="55"/>
      <c r="DU4" s="55"/>
      <c r="DV4" s="55"/>
      <c r="DW4" s="55"/>
      <c r="DX4" s="55"/>
      <c r="DY4" s="55"/>
      <c r="DZ4" s="55"/>
      <c r="EA4" s="55"/>
      <c r="EB4" s="55"/>
      <c r="EC4" s="55"/>
      <c r="ED4" s="55"/>
      <c r="EE4" s="55"/>
      <c r="EF4" s="55"/>
      <c r="EG4" s="55"/>
      <c r="EH4" s="55"/>
      <c r="EI4" s="55"/>
      <c r="EJ4" s="55"/>
      <c r="EK4" s="55"/>
      <c r="EL4" s="55"/>
      <c r="EM4" s="55"/>
      <c r="EN4" s="55"/>
      <c r="EO4" s="55"/>
      <c r="EP4" s="55"/>
      <c r="EQ4" s="55"/>
      <c r="ER4" s="55"/>
      <c r="ES4" s="55"/>
      <c r="ET4" s="55"/>
      <c r="EU4" s="55"/>
      <c r="EV4" s="55"/>
      <c r="EW4" s="55"/>
      <c r="EX4" s="55"/>
      <c r="EY4" s="55"/>
      <c r="EZ4" s="55"/>
      <c r="FA4" s="55"/>
      <c r="FB4" s="55"/>
      <c r="FC4" s="55"/>
      <c r="FD4" s="55"/>
      <c r="FE4" s="55"/>
      <c r="FF4" s="55"/>
      <c r="FG4" s="55"/>
      <c r="FH4" s="55"/>
      <c r="FI4" s="55"/>
      <c r="FJ4" s="55"/>
      <c r="FK4" s="55"/>
      <c r="FL4" s="55"/>
      <c r="FM4" s="55"/>
      <c r="FN4" s="55"/>
      <c r="FO4" s="55"/>
      <c r="FP4" s="55"/>
      <c r="FQ4" s="55"/>
      <c r="FR4" s="55"/>
      <c r="FS4" s="55"/>
      <c r="FT4" s="55"/>
      <c r="FU4" s="55"/>
      <c r="FV4" s="55"/>
      <c r="FW4" s="55"/>
      <c r="FX4" s="55"/>
      <c r="FY4" s="55"/>
      <c r="FZ4" s="55"/>
      <c r="GA4" s="55"/>
      <c r="GB4" s="55"/>
      <c r="GC4" s="55"/>
      <c r="GD4" s="55"/>
      <c r="GE4" s="55"/>
      <c r="GF4" s="55"/>
      <c r="GG4" s="55"/>
      <c r="GH4" s="55"/>
      <c r="GI4" s="55"/>
      <c r="GJ4" s="55"/>
      <c r="GK4" s="55"/>
      <c r="GL4" s="55"/>
      <c r="GM4" s="55"/>
      <c r="GN4" s="55"/>
      <c r="GO4" s="55"/>
      <c r="GP4" s="55"/>
      <c r="GQ4" s="55"/>
      <c r="GR4" s="55"/>
      <c r="GS4" s="55"/>
      <c r="GT4" s="55"/>
      <c r="GU4" s="55"/>
      <c r="GV4" s="55"/>
      <c r="GW4" s="55"/>
      <c r="GX4" s="55"/>
      <c r="GY4" s="55"/>
      <c r="GZ4" s="55"/>
      <c r="HA4" s="55"/>
      <c r="HB4" s="55"/>
      <c r="HC4" s="55"/>
      <c r="HD4" s="55"/>
      <c r="HE4" s="55"/>
      <c r="HF4" s="55"/>
      <c r="HG4" s="55"/>
      <c r="HH4" s="55"/>
      <c r="HI4" s="55"/>
      <c r="HJ4" s="55"/>
      <c r="HK4" s="55"/>
      <c r="HL4" s="55"/>
      <c r="HM4" s="55"/>
      <c r="HN4" s="55"/>
    </row>
    <row r="5" spans="1:222">
      <c r="A5" s="55"/>
      <c r="B5" s="56"/>
      <c r="C5" s="56"/>
      <c r="D5" s="56"/>
      <c r="E5" s="56"/>
      <c r="F5" s="26"/>
      <c r="G5" s="26"/>
      <c r="H5" s="202" t="s">
        <v>94</v>
      </c>
      <c r="I5" s="75"/>
      <c r="J5" s="75"/>
      <c r="K5" s="75"/>
      <c r="L5" s="7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  <c r="CB5" s="55"/>
      <c r="CC5" s="55"/>
      <c r="CD5" s="55"/>
      <c r="CE5" s="55"/>
      <c r="CF5" s="55"/>
      <c r="CG5" s="55"/>
      <c r="CH5" s="55"/>
      <c r="CI5" s="55"/>
      <c r="CJ5" s="55"/>
      <c r="CK5" s="55"/>
      <c r="CL5" s="55"/>
      <c r="CM5" s="55"/>
      <c r="CN5" s="55"/>
      <c r="CO5" s="55"/>
      <c r="CP5" s="55"/>
      <c r="CQ5" s="55"/>
      <c r="CR5" s="55"/>
      <c r="CS5" s="55"/>
      <c r="CT5" s="55"/>
      <c r="CU5" s="55"/>
      <c r="CV5" s="55"/>
      <c r="CW5" s="55"/>
      <c r="CX5" s="55"/>
      <c r="CY5" s="55"/>
      <c r="CZ5" s="55"/>
      <c r="DA5" s="55"/>
      <c r="DB5" s="55"/>
      <c r="DC5" s="55"/>
      <c r="DD5" s="55"/>
      <c r="DE5" s="55"/>
      <c r="DF5" s="55"/>
      <c r="DG5" s="55"/>
      <c r="DH5" s="55"/>
      <c r="DI5" s="55"/>
      <c r="DJ5" s="55"/>
      <c r="DK5" s="55"/>
      <c r="DL5" s="55"/>
      <c r="DM5" s="55"/>
      <c r="DN5" s="55"/>
      <c r="DO5" s="55"/>
      <c r="DP5" s="55"/>
      <c r="DQ5" s="55"/>
      <c r="DR5" s="55"/>
      <c r="DS5" s="55"/>
      <c r="DT5" s="55"/>
      <c r="DU5" s="55"/>
      <c r="DV5" s="55"/>
      <c r="DW5" s="55"/>
      <c r="DX5" s="55"/>
      <c r="DY5" s="55"/>
      <c r="DZ5" s="55"/>
      <c r="EA5" s="55"/>
      <c r="EB5" s="55"/>
      <c r="EC5" s="55"/>
      <c r="ED5" s="55"/>
      <c r="EE5" s="55"/>
      <c r="EF5" s="55"/>
      <c r="EG5" s="55"/>
      <c r="EH5" s="55"/>
      <c r="EI5" s="55"/>
      <c r="EJ5" s="55"/>
      <c r="EK5" s="55"/>
      <c r="EL5" s="55"/>
      <c r="EM5" s="55"/>
      <c r="EN5" s="55"/>
      <c r="EO5" s="55"/>
      <c r="EP5" s="55"/>
      <c r="EQ5" s="55"/>
      <c r="ER5" s="55"/>
      <c r="ES5" s="55"/>
      <c r="ET5" s="55"/>
      <c r="EU5" s="55"/>
      <c r="EV5" s="55"/>
      <c r="EW5" s="55"/>
      <c r="EX5" s="55"/>
      <c r="EY5" s="55"/>
      <c r="EZ5" s="55"/>
      <c r="FA5" s="55"/>
      <c r="FB5" s="55"/>
      <c r="FC5" s="55"/>
      <c r="FD5" s="55"/>
      <c r="FE5" s="55"/>
      <c r="FF5" s="55"/>
      <c r="FG5" s="55"/>
      <c r="FH5" s="55"/>
      <c r="FI5" s="55"/>
      <c r="FJ5" s="55"/>
      <c r="FK5" s="55"/>
      <c r="FL5" s="55"/>
      <c r="FM5" s="55"/>
      <c r="FN5" s="55"/>
      <c r="FO5" s="55"/>
      <c r="FP5" s="55"/>
      <c r="FQ5" s="55"/>
      <c r="FR5" s="55"/>
      <c r="FS5" s="55"/>
      <c r="FT5" s="55"/>
      <c r="FU5" s="55"/>
      <c r="FV5" s="55"/>
      <c r="FW5" s="55"/>
      <c r="FX5" s="55"/>
      <c r="FY5" s="55"/>
      <c r="FZ5" s="55"/>
      <c r="GA5" s="55"/>
      <c r="GB5" s="55"/>
      <c r="GC5" s="55"/>
      <c r="GD5" s="55"/>
      <c r="GE5" s="55"/>
      <c r="GF5" s="55"/>
      <c r="GG5" s="55"/>
      <c r="GH5" s="55"/>
      <c r="GI5" s="55"/>
      <c r="GJ5" s="55"/>
      <c r="GK5" s="55"/>
      <c r="GL5" s="55"/>
      <c r="GM5" s="55"/>
      <c r="GN5" s="55"/>
      <c r="GO5" s="55"/>
      <c r="GP5" s="55"/>
      <c r="GQ5" s="55"/>
      <c r="GR5" s="55"/>
      <c r="GS5" s="55"/>
      <c r="GT5" s="55"/>
      <c r="GU5" s="55"/>
      <c r="GV5" s="55"/>
      <c r="GW5" s="55"/>
      <c r="GX5" s="55"/>
      <c r="GY5" s="55"/>
      <c r="GZ5" s="55"/>
      <c r="HA5" s="55"/>
      <c r="HB5" s="55"/>
      <c r="HC5" s="55"/>
      <c r="HD5" s="55"/>
      <c r="HE5" s="55"/>
      <c r="HF5" s="55"/>
      <c r="HG5" s="55"/>
      <c r="HH5" s="55"/>
      <c r="HI5" s="55"/>
      <c r="HJ5" s="55"/>
      <c r="HK5" s="55"/>
      <c r="HL5" s="55"/>
      <c r="HM5" s="55"/>
      <c r="HN5" s="55"/>
    </row>
    <row r="6" spans="1:222">
      <c r="A6" s="55"/>
      <c r="B6" s="27"/>
      <c r="C6" s="56"/>
      <c r="D6" s="56"/>
      <c r="E6" s="56"/>
      <c r="F6" s="221">
        <f>IS!F6</f>
        <v>2024</v>
      </c>
      <c r="G6" s="221">
        <f>IS!G6</f>
        <v>2025</v>
      </c>
      <c r="H6" s="256">
        <f>IS!H6</f>
        <v>2026</v>
      </c>
      <c r="I6" s="256">
        <f>IS!I6</f>
        <v>2027</v>
      </c>
      <c r="J6" s="256">
        <f>IS!J6</f>
        <v>2028</v>
      </c>
      <c r="K6" s="256">
        <f>IS!K6</f>
        <v>2029</v>
      </c>
      <c r="L6" s="256">
        <f>IS!L6</f>
        <v>2030</v>
      </c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  <c r="CP6" s="55"/>
      <c r="CQ6" s="55"/>
      <c r="CR6" s="55"/>
      <c r="CS6" s="55"/>
      <c r="CT6" s="55"/>
      <c r="CU6" s="55"/>
      <c r="CV6" s="55"/>
      <c r="CW6" s="55"/>
      <c r="CX6" s="55"/>
      <c r="CY6" s="55"/>
      <c r="CZ6" s="55"/>
      <c r="DA6" s="55"/>
      <c r="DB6" s="55"/>
      <c r="DC6" s="55"/>
      <c r="DD6" s="55"/>
      <c r="DE6" s="55"/>
      <c r="DF6" s="55"/>
      <c r="DG6" s="55"/>
      <c r="DH6" s="55"/>
      <c r="DI6" s="55"/>
      <c r="DJ6" s="55"/>
      <c r="DK6" s="55"/>
      <c r="DL6" s="55"/>
      <c r="DM6" s="55"/>
      <c r="DN6" s="55"/>
      <c r="DO6" s="55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55"/>
      <c r="EB6" s="55"/>
      <c r="EC6" s="55"/>
      <c r="ED6" s="55"/>
      <c r="EE6" s="55"/>
      <c r="EF6" s="55"/>
      <c r="EG6" s="55"/>
      <c r="EH6" s="55"/>
      <c r="EI6" s="55"/>
      <c r="EJ6" s="55"/>
      <c r="EK6" s="55"/>
      <c r="EL6" s="55"/>
      <c r="EM6" s="55"/>
      <c r="EN6" s="55"/>
      <c r="EO6" s="55"/>
      <c r="EP6" s="55"/>
      <c r="EQ6" s="55"/>
      <c r="ER6" s="55"/>
      <c r="ES6" s="55"/>
      <c r="ET6" s="55"/>
      <c r="EU6" s="55"/>
      <c r="EV6" s="55"/>
      <c r="EW6" s="55"/>
      <c r="EX6" s="55"/>
      <c r="EY6" s="55"/>
      <c r="EZ6" s="55"/>
      <c r="FA6" s="55"/>
      <c r="FB6" s="55"/>
      <c r="FC6" s="55"/>
      <c r="FD6" s="55"/>
      <c r="FE6" s="55"/>
      <c r="FF6" s="55"/>
      <c r="FG6" s="55"/>
      <c r="FH6" s="55"/>
      <c r="FI6" s="55"/>
      <c r="FJ6" s="55"/>
      <c r="FK6" s="55"/>
      <c r="FL6" s="55"/>
      <c r="FM6" s="55"/>
      <c r="FN6" s="55"/>
      <c r="FO6" s="55"/>
      <c r="FP6" s="55"/>
      <c r="FQ6" s="55"/>
      <c r="FR6" s="55"/>
      <c r="FS6" s="55"/>
      <c r="FT6" s="55"/>
      <c r="FU6" s="55"/>
      <c r="FV6" s="55"/>
      <c r="FW6" s="55"/>
      <c r="FX6" s="55"/>
      <c r="FY6" s="55"/>
      <c r="FZ6" s="55"/>
      <c r="GA6" s="55"/>
      <c r="GB6" s="55"/>
      <c r="GC6" s="55"/>
      <c r="GD6" s="55"/>
      <c r="GE6" s="55"/>
      <c r="GF6" s="55"/>
      <c r="GG6" s="55"/>
      <c r="GH6" s="55"/>
      <c r="GI6" s="55"/>
      <c r="GJ6" s="55"/>
      <c r="GK6" s="55"/>
      <c r="GL6" s="55"/>
      <c r="GM6" s="55"/>
      <c r="GN6" s="55"/>
      <c r="GO6" s="55"/>
      <c r="GP6" s="55"/>
      <c r="GQ6" s="55"/>
      <c r="GR6" s="55"/>
      <c r="GS6" s="55"/>
      <c r="GT6" s="55"/>
      <c r="GU6" s="55"/>
      <c r="GV6" s="55"/>
      <c r="GW6" s="55"/>
      <c r="GX6" s="55"/>
      <c r="GY6" s="55"/>
      <c r="GZ6" s="55"/>
      <c r="HA6" s="55"/>
      <c r="HB6" s="55"/>
      <c r="HC6" s="55"/>
      <c r="HD6" s="55"/>
      <c r="HE6" s="55"/>
      <c r="HF6" s="55"/>
      <c r="HG6" s="55"/>
      <c r="HH6" s="55"/>
      <c r="HI6" s="55"/>
      <c r="HJ6" s="55"/>
      <c r="HK6" s="55"/>
      <c r="HL6" s="55"/>
      <c r="HM6" s="55"/>
      <c r="HN6" s="55"/>
    </row>
    <row r="7" spans="1:222">
      <c r="A7" s="55"/>
      <c r="B7" s="27"/>
      <c r="C7" s="56"/>
      <c r="D7" s="56"/>
      <c r="E7" s="56"/>
      <c r="F7" s="28"/>
      <c r="G7" s="28"/>
      <c r="H7" s="28"/>
      <c r="I7" s="28"/>
      <c r="J7" s="28"/>
      <c r="K7" s="28"/>
      <c r="L7" s="28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5"/>
      <c r="EQ7" s="55"/>
      <c r="ER7" s="55"/>
      <c r="ES7" s="55"/>
      <c r="ET7" s="55"/>
      <c r="EU7" s="55"/>
      <c r="EV7" s="55"/>
      <c r="EW7" s="55"/>
      <c r="EX7" s="55"/>
      <c r="EY7" s="55"/>
      <c r="EZ7" s="55"/>
      <c r="FA7" s="55"/>
      <c r="FB7" s="55"/>
      <c r="FC7" s="55"/>
      <c r="FD7" s="55"/>
      <c r="FE7" s="55"/>
      <c r="FF7" s="55"/>
      <c r="FG7" s="55"/>
      <c r="FH7" s="55"/>
      <c r="FI7" s="55"/>
      <c r="FJ7" s="55"/>
      <c r="FK7" s="55"/>
      <c r="FL7" s="55"/>
      <c r="FM7" s="55"/>
      <c r="FN7" s="55"/>
      <c r="FO7" s="55"/>
      <c r="FP7" s="55"/>
      <c r="FQ7" s="55"/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5"/>
      <c r="GM7" s="55"/>
      <c r="GN7" s="55"/>
      <c r="GO7" s="55"/>
      <c r="GP7" s="55"/>
      <c r="GQ7" s="55"/>
      <c r="GR7" s="55"/>
      <c r="GS7" s="55"/>
      <c r="GT7" s="55"/>
      <c r="GU7" s="55"/>
      <c r="GV7" s="55"/>
      <c r="GW7" s="55"/>
      <c r="GX7" s="55"/>
      <c r="GY7" s="55"/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5"/>
      <c r="HK7" s="55"/>
      <c r="HL7" s="55"/>
      <c r="HM7" s="55"/>
      <c r="HN7" s="55"/>
    </row>
    <row r="8" spans="1:222">
      <c r="A8" s="55"/>
      <c r="B8" s="121" t="s">
        <v>622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55"/>
      <c r="EF8" s="55"/>
      <c r="EG8" s="55"/>
      <c r="EH8" s="55"/>
      <c r="EI8" s="55"/>
      <c r="EJ8" s="55"/>
      <c r="EK8" s="55"/>
      <c r="EL8" s="55"/>
      <c r="EM8" s="55"/>
      <c r="EN8" s="55"/>
      <c r="EO8" s="55"/>
      <c r="EP8" s="55"/>
      <c r="EQ8" s="55"/>
      <c r="ER8" s="55"/>
      <c r="ES8" s="55"/>
      <c r="ET8" s="55"/>
      <c r="EU8" s="55"/>
      <c r="EV8" s="55"/>
      <c r="EW8" s="55"/>
      <c r="EX8" s="55"/>
      <c r="EY8" s="55"/>
      <c r="EZ8" s="55"/>
      <c r="FA8" s="55"/>
      <c r="FB8" s="55"/>
      <c r="FC8" s="55"/>
      <c r="FD8" s="55"/>
      <c r="FE8" s="55"/>
      <c r="FF8" s="55"/>
      <c r="FG8" s="55"/>
      <c r="FH8" s="55"/>
      <c r="FI8" s="55"/>
      <c r="FJ8" s="55"/>
      <c r="FK8" s="55"/>
      <c r="FL8" s="55"/>
      <c r="FM8" s="55"/>
      <c r="FN8" s="55"/>
      <c r="FO8" s="55"/>
      <c r="FP8" s="55"/>
      <c r="FQ8" s="55"/>
      <c r="FR8" s="55"/>
      <c r="FS8" s="55"/>
      <c r="FT8" s="55"/>
      <c r="FU8" s="55"/>
      <c r="FV8" s="55"/>
      <c r="FW8" s="55"/>
      <c r="FX8" s="55"/>
      <c r="FY8" s="55"/>
      <c r="FZ8" s="55"/>
      <c r="GA8" s="55"/>
      <c r="GB8" s="55"/>
      <c r="GC8" s="55"/>
      <c r="GD8" s="55"/>
      <c r="GE8" s="55"/>
      <c r="GF8" s="55"/>
      <c r="GG8" s="55"/>
      <c r="GH8" s="55"/>
      <c r="GI8" s="55"/>
      <c r="GJ8" s="55"/>
      <c r="GK8" s="55"/>
      <c r="GL8" s="55"/>
      <c r="GM8" s="55"/>
      <c r="GN8" s="55"/>
      <c r="GO8" s="55"/>
      <c r="GP8" s="55"/>
      <c r="GQ8" s="55"/>
      <c r="GR8" s="55"/>
      <c r="GS8" s="55"/>
      <c r="GT8" s="55"/>
      <c r="GU8" s="55"/>
      <c r="GV8" s="55"/>
      <c r="GW8" s="55"/>
      <c r="GX8" s="55"/>
      <c r="GY8" s="55"/>
      <c r="GZ8" s="55"/>
      <c r="HA8" s="55"/>
      <c r="HB8" s="55"/>
      <c r="HC8" s="55"/>
      <c r="HD8" s="55"/>
      <c r="HE8" s="55"/>
      <c r="HF8" s="55"/>
      <c r="HG8" s="55"/>
      <c r="HH8" s="55"/>
      <c r="HI8" s="55"/>
      <c r="HJ8" s="55"/>
      <c r="HK8" s="55"/>
      <c r="HL8" s="55"/>
      <c r="HM8" s="55"/>
      <c r="HN8" s="55"/>
    </row>
    <row r="9" spans="1:222">
      <c r="A9" s="55"/>
      <c r="B9" s="56"/>
      <c r="C9" s="125" t="s">
        <v>239</v>
      </c>
      <c r="D9" s="56"/>
      <c r="E9" s="56"/>
      <c r="F9" s="918">
        <f>6662+4262</f>
        <v>10924</v>
      </c>
      <c r="G9" s="918">
        <f>8049+2373</f>
        <v>10422</v>
      </c>
      <c r="H9" s="909">
        <f>'Debt Schedule'!H11</f>
        <v>10036.886999314429</v>
      </c>
      <c r="I9" s="909">
        <f>'Debt Schedule'!I11</f>
        <v>9915.6644969170011</v>
      </c>
      <c r="J9" s="909">
        <f>'Debt Schedule'!J11</f>
        <v>9828.9614112045074</v>
      </c>
      <c r="K9" s="909">
        <f>'Debt Schedule'!K11</f>
        <v>9630.3133805237485</v>
      </c>
      <c r="L9" s="909">
        <f>'Debt Schedule'!L11</f>
        <v>10303.079264964055</v>
      </c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55"/>
      <c r="DG9" s="55"/>
      <c r="DH9" s="55"/>
      <c r="DI9" s="55"/>
      <c r="DJ9" s="55"/>
      <c r="DK9" s="55"/>
      <c r="DL9" s="55"/>
      <c r="DM9" s="55"/>
      <c r="DN9" s="55"/>
      <c r="DO9" s="55"/>
      <c r="DP9" s="55"/>
      <c r="DQ9" s="55"/>
      <c r="DR9" s="55"/>
      <c r="DS9" s="55"/>
      <c r="DT9" s="55"/>
      <c r="DU9" s="55"/>
      <c r="DV9" s="55"/>
      <c r="DW9" s="55"/>
      <c r="DX9" s="55"/>
      <c r="DY9" s="55"/>
      <c r="DZ9" s="55"/>
      <c r="EA9" s="55"/>
      <c r="EB9" s="55"/>
      <c r="EC9" s="55"/>
      <c r="ED9" s="55"/>
      <c r="EE9" s="55"/>
      <c r="EF9" s="55"/>
      <c r="EG9" s="55"/>
      <c r="EH9" s="55"/>
      <c r="EI9" s="55"/>
      <c r="EJ9" s="55"/>
      <c r="EK9" s="55"/>
      <c r="EL9" s="55"/>
      <c r="EM9" s="55"/>
      <c r="EN9" s="55"/>
      <c r="EO9" s="55"/>
      <c r="EP9" s="55"/>
      <c r="EQ9" s="55"/>
      <c r="ER9" s="55"/>
      <c r="ES9" s="55"/>
      <c r="ET9" s="55"/>
      <c r="EU9" s="55"/>
      <c r="EV9" s="55"/>
      <c r="EW9" s="55"/>
      <c r="EX9" s="55"/>
      <c r="EY9" s="55"/>
      <c r="EZ9" s="55"/>
      <c r="FA9" s="55"/>
      <c r="FB9" s="55"/>
      <c r="FC9" s="55"/>
      <c r="FD9" s="55"/>
      <c r="FE9" s="55"/>
      <c r="FF9" s="55"/>
      <c r="FG9" s="55"/>
      <c r="FH9" s="55"/>
      <c r="FI9" s="55"/>
      <c r="FJ9" s="55"/>
      <c r="FK9" s="55"/>
      <c r="FL9" s="55"/>
      <c r="FM9" s="55"/>
      <c r="FN9" s="55"/>
      <c r="FO9" s="55"/>
      <c r="FP9" s="55"/>
      <c r="FQ9" s="55"/>
      <c r="FR9" s="55"/>
      <c r="FS9" s="55"/>
      <c r="FT9" s="55"/>
      <c r="FU9" s="55"/>
      <c r="FV9" s="55"/>
      <c r="FW9" s="55"/>
      <c r="FX9" s="55"/>
      <c r="FY9" s="55"/>
      <c r="FZ9" s="55"/>
      <c r="GA9" s="55"/>
      <c r="GB9" s="55"/>
      <c r="GC9" s="55"/>
      <c r="GD9" s="55"/>
      <c r="GE9" s="55"/>
      <c r="GF9" s="55"/>
      <c r="GG9" s="55"/>
      <c r="GH9" s="55"/>
      <c r="GI9" s="55"/>
      <c r="GJ9" s="55"/>
      <c r="GK9" s="55"/>
      <c r="GL9" s="55"/>
      <c r="GM9" s="55"/>
      <c r="GN9" s="55"/>
      <c r="GO9" s="55"/>
      <c r="GP9" s="55"/>
      <c r="GQ9" s="55"/>
      <c r="GR9" s="55"/>
      <c r="GS9" s="55"/>
      <c r="GT9" s="55"/>
      <c r="GU9" s="55"/>
      <c r="GV9" s="55"/>
      <c r="GW9" s="55"/>
      <c r="GX9" s="55"/>
      <c r="GY9" s="55"/>
      <c r="GZ9" s="55"/>
      <c r="HA9" s="55"/>
      <c r="HB9" s="55"/>
      <c r="HC9" s="55"/>
      <c r="HD9" s="55"/>
      <c r="HE9" s="55"/>
      <c r="HF9" s="55"/>
      <c r="HG9" s="55"/>
      <c r="HH9" s="55"/>
      <c r="HI9" s="55"/>
      <c r="HJ9" s="55"/>
      <c r="HK9" s="55"/>
      <c r="HL9" s="55"/>
      <c r="HM9" s="55"/>
      <c r="HN9" s="55"/>
    </row>
    <row r="10" spans="1:222">
      <c r="A10" s="55"/>
      <c r="B10" s="56"/>
      <c r="C10" s="125" t="s">
        <v>121</v>
      </c>
      <c r="D10" s="56"/>
      <c r="E10" s="56"/>
      <c r="F10" s="36">
        <v>984</v>
      </c>
      <c r="G10" s="36">
        <v>840</v>
      </c>
      <c r="H10" s="99">
        <f>'Working Capital Schedule'!H21</f>
        <v>864.94332037260267</v>
      </c>
      <c r="I10" s="99">
        <f>'Working Capital Schedule'!I21</f>
        <v>899.55554984679429</v>
      </c>
      <c r="J10" s="99">
        <f>'Working Capital Schedule'!J21</f>
        <v>938.06206233907733</v>
      </c>
      <c r="K10" s="99">
        <f>'Working Capital Schedule'!K21</f>
        <v>989.14824313129168</v>
      </c>
      <c r="L10" s="99">
        <f>'Working Capital Schedule'!L21</f>
        <v>1040.1546681678574</v>
      </c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5"/>
      <c r="CL10" s="55"/>
      <c r="CM10" s="55"/>
      <c r="CN10" s="55"/>
      <c r="CO10" s="55"/>
      <c r="CP10" s="55"/>
      <c r="CQ10" s="55"/>
      <c r="CR10" s="55"/>
      <c r="CS10" s="55"/>
      <c r="CT10" s="55"/>
      <c r="CU10" s="55"/>
      <c r="CV10" s="55"/>
      <c r="CW10" s="55"/>
      <c r="CX10" s="55"/>
      <c r="CY10" s="55"/>
      <c r="CZ10" s="55"/>
      <c r="DA10" s="55"/>
      <c r="DB10" s="55"/>
      <c r="DC10" s="55"/>
      <c r="DD10" s="55"/>
      <c r="DE10" s="55"/>
      <c r="DF10" s="55"/>
      <c r="DG10" s="55"/>
      <c r="DH10" s="55"/>
      <c r="DI10" s="55"/>
      <c r="DJ10" s="55"/>
      <c r="DK10" s="55"/>
      <c r="DL10" s="55"/>
      <c r="DM10" s="55"/>
      <c r="DN10" s="55"/>
      <c r="DO10" s="55"/>
      <c r="DP10" s="55"/>
      <c r="DQ10" s="55"/>
      <c r="DR10" s="55"/>
      <c r="DS10" s="55"/>
      <c r="DT10" s="55"/>
      <c r="DU10" s="55"/>
      <c r="DV10" s="55"/>
      <c r="DW10" s="55"/>
      <c r="DX10" s="55"/>
      <c r="DY10" s="55"/>
      <c r="DZ10" s="55"/>
      <c r="EA10" s="55"/>
      <c r="EB10" s="55"/>
      <c r="EC10" s="55"/>
      <c r="ED10" s="55"/>
      <c r="EE10" s="55"/>
      <c r="EF10" s="55"/>
      <c r="EG10" s="55"/>
      <c r="EH10" s="55"/>
      <c r="EI10" s="55"/>
      <c r="EJ10" s="55"/>
      <c r="EK10" s="55"/>
      <c r="EL10" s="55"/>
      <c r="EM10" s="55"/>
      <c r="EN10" s="55"/>
      <c r="EO10" s="55"/>
      <c r="EP10" s="55"/>
      <c r="EQ10" s="55"/>
      <c r="ER10" s="55"/>
      <c r="ES10" s="55"/>
      <c r="ET10" s="55"/>
      <c r="EU10" s="55"/>
      <c r="EV10" s="55"/>
      <c r="EW10" s="55"/>
      <c r="EX10" s="55"/>
      <c r="EY10" s="55"/>
      <c r="EZ10" s="55"/>
      <c r="FA10" s="55"/>
      <c r="FB10" s="55"/>
      <c r="FC10" s="55"/>
      <c r="FD10" s="55"/>
      <c r="FE10" s="55"/>
      <c r="FF10" s="55"/>
      <c r="FG10" s="55"/>
      <c r="FH10" s="55"/>
      <c r="FI10" s="55"/>
      <c r="FJ10" s="55"/>
      <c r="FK10" s="55"/>
      <c r="FL10" s="55"/>
      <c r="FM10" s="55"/>
      <c r="FN10" s="55"/>
      <c r="FO10" s="55"/>
      <c r="FP10" s="55"/>
      <c r="FQ10" s="55"/>
      <c r="FR10" s="55"/>
      <c r="FS10" s="55"/>
      <c r="FT10" s="55"/>
      <c r="FU10" s="55"/>
      <c r="FV10" s="55"/>
      <c r="FW10" s="55"/>
      <c r="FX10" s="55"/>
      <c r="FY10" s="55"/>
      <c r="FZ10" s="55"/>
      <c r="GA10" s="55"/>
      <c r="GB10" s="55"/>
      <c r="GC10" s="55"/>
      <c r="GD10" s="55"/>
      <c r="GE10" s="55"/>
      <c r="GF10" s="55"/>
      <c r="GG10" s="55"/>
      <c r="GH10" s="55"/>
      <c r="GI10" s="55"/>
      <c r="GJ10" s="55"/>
      <c r="GK10" s="55"/>
      <c r="GL10" s="55"/>
      <c r="GM10" s="55"/>
      <c r="GN10" s="55"/>
      <c r="GO10" s="55"/>
      <c r="GP10" s="55"/>
      <c r="GQ10" s="55"/>
      <c r="GR10" s="55"/>
      <c r="GS10" s="55"/>
      <c r="GT10" s="55"/>
      <c r="GU10" s="55"/>
      <c r="GV10" s="55"/>
      <c r="GW10" s="55"/>
      <c r="GX10" s="55"/>
      <c r="GY10" s="55"/>
      <c r="GZ10" s="55"/>
      <c r="HA10" s="55"/>
      <c r="HB10" s="55"/>
      <c r="HC10" s="55"/>
      <c r="HD10" s="55"/>
      <c r="HE10" s="55"/>
      <c r="HF10" s="55"/>
      <c r="HG10" s="55"/>
      <c r="HH10" s="55"/>
      <c r="HI10" s="55"/>
      <c r="HJ10" s="55"/>
      <c r="HK10" s="55"/>
      <c r="HL10" s="55"/>
      <c r="HM10" s="55"/>
      <c r="HN10" s="55"/>
    </row>
    <row r="11" spans="1:222">
      <c r="A11" s="55"/>
      <c r="B11" s="56"/>
      <c r="C11" s="125" t="s">
        <v>122</v>
      </c>
      <c r="D11" s="56"/>
      <c r="E11" s="56"/>
      <c r="F11" s="36">
        <v>541</v>
      </c>
      <c r="G11" s="36">
        <v>1726</v>
      </c>
      <c r="H11" s="242">
        <f>(G11/IS!G8)*IS!H8</f>
        <v>1785.5080843506573</v>
      </c>
      <c r="I11" s="242">
        <f>(H11/IS!H8)*IS!I8</f>
        <v>1856.9583332721088</v>
      </c>
      <c r="J11" s="242">
        <f>(I11/IS!I8)*IS!J8</f>
        <v>1941.7529116115238</v>
      </c>
      <c r="K11" s="242">
        <f>(J11/IS!J8)*IS!K8</f>
        <v>2041.9051088473075</v>
      </c>
      <c r="L11" s="242">
        <f>(K11/IS!K8)*IS!L8</f>
        <v>2147.1980015855061</v>
      </c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55"/>
      <c r="EG11" s="55"/>
      <c r="EH11" s="55"/>
      <c r="EI11" s="55"/>
      <c r="EJ11" s="55"/>
      <c r="EK11" s="55"/>
      <c r="EL11" s="55"/>
      <c r="EM11" s="55"/>
      <c r="EN11" s="55"/>
      <c r="EO11" s="55"/>
      <c r="EP11" s="55"/>
      <c r="EQ11" s="55"/>
      <c r="ER11" s="55"/>
      <c r="ES11" s="55"/>
      <c r="ET11" s="55"/>
      <c r="EU11" s="55"/>
      <c r="EV11" s="55"/>
      <c r="EW11" s="55"/>
      <c r="EX11" s="55"/>
      <c r="EY11" s="55"/>
      <c r="EZ11" s="55"/>
      <c r="FA11" s="55"/>
      <c r="FB11" s="55"/>
      <c r="FC11" s="55"/>
      <c r="FD11" s="55"/>
      <c r="FE11" s="55"/>
      <c r="FF11" s="55"/>
      <c r="FG11" s="55"/>
      <c r="FH11" s="55"/>
      <c r="FI11" s="55"/>
      <c r="FJ11" s="55"/>
      <c r="FK11" s="55"/>
      <c r="FL11" s="55"/>
      <c r="FM11" s="55"/>
      <c r="FN11" s="55"/>
      <c r="FO11" s="55"/>
      <c r="FP11" s="55"/>
      <c r="FQ11" s="55"/>
      <c r="FR11" s="55"/>
      <c r="FS11" s="55"/>
      <c r="FT11" s="55"/>
      <c r="FU11" s="55"/>
      <c r="FV11" s="55"/>
      <c r="FW11" s="55"/>
      <c r="FX11" s="55"/>
      <c r="FY11" s="55"/>
      <c r="FZ11" s="55"/>
      <c r="GA11" s="55"/>
      <c r="GB11" s="55"/>
      <c r="GC11" s="55"/>
      <c r="GD11" s="55"/>
      <c r="GE11" s="55"/>
      <c r="GF11" s="55"/>
      <c r="GG11" s="55"/>
      <c r="GH11" s="55"/>
      <c r="GI11" s="55"/>
      <c r="GJ11" s="55"/>
      <c r="GK11" s="55"/>
      <c r="GL11" s="55"/>
      <c r="GM11" s="55"/>
      <c r="GN11" s="55"/>
      <c r="GO11" s="55"/>
      <c r="GP11" s="55"/>
      <c r="GQ11" s="55"/>
      <c r="GR11" s="55"/>
      <c r="GS11" s="55"/>
      <c r="GT11" s="55"/>
      <c r="GU11" s="55"/>
      <c r="GV11" s="55"/>
      <c r="GW11" s="55"/>
      <c r="GX11" s="55"/>
      <c r="GY11" s="55"/>
      <c r="GZ11" s="55"/>
      <c r="HA11" s="55"/>
      <c r="HB11" s="55"/>
      <c r="HC11" s="55"/>
      <c r="HD11" s="55"/>
      <c r="HE11" s="55"/>
      <c r="HF11" s="55"/>
      <c r="HG11" s="55"/>
      <c r="HH11" s="55"/>
      <c r="HI11" s="55"/>
      <c r="HJ11" s="55"/>
      <c r="HK11" s="55"/>
      <c r="HL11" s="55"/>
      <c r="HM11" s="55"/>
      <c r="HN11" s="55"/>
    </row>
    <row r="12" spans="1:222">
      <c r="A12" s="55"/>
      <c r="B12" s="56"/>
      <c r="C12" s="125" t="s">
        <v>123</v>
      </c>
      <c r="D12" s="56"/>
      <c r="E12" s="56"/>
      <c r="F12" s="36">
        <v>6422</v>
      </c>
      <c r="G12" s="36">
        <v>6746</v>
      </c>
      <c r="H12" s="242">
        <f>G12*(IS!H8/IS!G8)</f>
        <v>6978.5848997853609</v>
      </c>
      <c r="I12" s="242">
        <f>H12*(IS!I8/IS!H8)</f>
        <v>7257.8452585478817</v>
      </c>
      <c r="J12" s="242">
        <f>I12*(IS!J8/IS!I8)</f>
        <v>7589.261379913868</v>
      </c>
      <c r="K12" s="242">
        <f>J12*(IS!K8/IS!J8)</f>
        <v>7980.70212299185</v>
      </c>
      <c r="L12" s="242">
        <f>K12*(IS!L8/IS!K8)</f>
        <v>8392.2350629755638</v>
      </c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  <c r="CR12" s="55"/>
      <c r="CS12" s="55"/>
      <c r="CT12" s="55"/>
      <c r="CU12" s="55"/>
      <c r="CV12" s="55"/>
      <c r="CW12" s="55"/>
      <c r="CX12" s="55"/>
      <c r="CY12" s="55"/>
      <c r="CZ12" s="55"/>
      <c r="DA12" s="55"/>
      <c r="DB12" s="55"/>
      <c r="DC12" s="55"/>
      <c r="DD12" s="55"/>
      <c r="DE12" s="55"/>
      <c r="DF12" s="55"/>
      <c r="DG12" s="55"/>
      <c r="DH12" s="55"/>
      <c r="DI12" s="55"/>
      <c r="DJ12" s="55"/>
      <c r="DK12" s="55"/>
      <c r="DL12" s="55"/>
      <c r="DM12" s="55"/>
      <c r="DN12" s="55"/>
      <c r="DO12" s="55"/>
      <c r="DP12" s="55"/>
      <c r="DQ12" s="55"/>
      <c r="DR12" s="55"/>
      <c r="DS12" s="55"/>
      <c r="DT12" s="55"/>
      <c r="DU12" s="55"/>
      <c r="DV12" s="55"/>
      <c r="DW12" s="55"/>
      <c r="DX12" s="55"/>
      <c r="DY12" s="55"/>
      <c r="DZ12" s="55"/>
      <c r="EA12" s="55"/>
      <c r="EB12" s="55"/>
      <c r="EC12" s="55"/>
      <c r="ED12" s="55"/>
      <c r="EE12" s="55"/>
      <c r="EF12" s="55"/>
      <c r="EG12" s="55"/>
      <c r="EH12" s="55"/>
      <c r="EI12" s="55"/>
      <c r="EJ12" s="55"/>
      <c r="EK12" s="55"/>
      <c r="EL12" s="55"/>
      <c r="EM12" s="55"/>
      <c r="EN12" s="55"/>
      <c r="EO12" s="55"/>
      <c r="EP12" s="55"/>
      <c r="EQ12" s="55"/>
      <c r="ER12" s="55"/>
      <c r="ES12" s="55"/>
      <c r="ET12" s="55"/>
      <c r="EU12" s="55"/>
      <c r="EV12" s="55"/>
      <c r="EW12" s="55"/>
      <c r="EX12" s="55"/>
      <c r="EY12" s="55"/>
      <c r="EZ12" s="55"/>
      <c r="FA12" s="55"/>
      <c r="FB12" s="55"/>
      <c r="FC12" s="55"/>
      <c r="FD12" s="55"/>
      <c r="FE12" s="55"/>
      <c r="FF12" s="55"/>
      <c r="FG12" s="55"/>
      <c r="FH12" s="55"/>
      <c r="FI12" s="55"/>
      <c r="FJ12" s="55"/>
      <c r="FK12" s="55"/>
      <c r="FL12" s="55"/>
      <c r="FM12" s="55"/>
      <c r="FN12" s="55"/>
      <c r="FO12" s="55"/>
      <c r="FP12" s="55"/>
      <c r="FQ12" s="55"/>
      <c r="FR12" s="55"/>
      <c r="FS12" s="55"/>
      <c r="FT12" s="55"/>
      <c r="FU12" s="55"/>
      <c r="FV12" s="55"/>
      <c r="FW12" s="55"/>
      <c r="FX12" s="55"/>
      <c r="FY12" s="55"/>
      <c r="FZ12" s="55"/>
      <c r="GA12" s="55"/>
      <c r="GB12" s="55"/>
      <c r="GC12" s="55"/>
      <c r="GD12" s="55"/>
      <c r="GE12" s="55"/>
      <c r="GF12" s="55"/>
      <c r="GG12" s="55"/>
      <c r="GH12" s="55"/>
      <c r="GI12" s="55"/>
      <c r="GJ12" s="55"/>
      <c r="GK12" s="55"/>
      <c r="GL12" s="55"/>
      <c r="GM12" s="55"/>
      <c r="GN12" s="55"/>
      <c r="GO12" s="55"/>
      <c r="GP12" s="55"/>
      <c r="GQ12" s="55"/>
      <c r="GR12" s="55"/>
      <c r="GS12" s="55"/>
      <c r="GT12" s="55"/>
      <c r="GU12" s="55"/>
      <c r="GV12" s="55"/>
      <c r="GW12" s="55"/>
      <c r="GX12" s="55"/>
      <c r="GY12" s="55"/>
      <c r="GZ12" s="55"/>
      <c r="HA12" s="55"/>
      <c r="HB12" s="55"/>
      <c r="HC12" s="55"/>
      <c r="HD12" s="55"/>
      <c r="HE12" s="55"/>
      <c r="HF12" s="55"/>
      <c r="HG12" s="55"/>
      <c r="HH12" s="55"/>
      <c r="HI12" s="55"/>
      <c r="HJ12" s="55"/>
      <c r="HK12" s="55"/>
      <c r="HL12" s="55"/>
      <c r="HM12" s="55"/>
      <c r="HN12" s="55"/>
    </row>
    <row r="13" spans="1:222">
      <c r="A13" s="55"/>
      <c r="B13" s="56"/>
      <c r="C13" s="125" t="s">
        <v>124</v>
      </c>
      <c r="D13" s="56"/>
      <c r="E13" s="56"/>
      <c r="F13" s="36">
        <v>37671</v>
      </c>
      <c r="G13" s="36">
        <v>38198</v>
      </c>
      <c r="H13" s="99">
        <f>'Working Capital Schedule'!H31</f>
        <v>39514.969760154345</v>
      </c>
      <c r="I13" s="99">
        <f>'Working Capital Schedule'!I31</f>
        <v>41096.230831012741</v>
      </c>
      <c r="J13" s="99">
        <f>'Working Capital Schedule'!J31</f>
        <v>42972.8144366958</v>
      </c>
      <c r="K13" s="99">
        <f>'Working Capital Schedule'!K31</f>
        <v>45189.276563006613</v>
      </c>
      <c r="L13" s="99">
        <f>'Working Capital Schedule'!L31</f>
        <v>47519.507105772384</v>
      </c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  <c r="CR13" s="55"/>
      <c r="CS13" s="55"/>
      <c r="CT13" s="55"/>
      <c r="CU13" s="55"/>
      <c r="CV13" s="55"/>
      <c r="CW13" s="55"/>
      <c r="CX13" s="55"/>
      <c r="CY13" s="55"/>
      <c r="CZ13" s="55"/>
      <c r="DA13" s="55"/>
      <c r="DB13" s="55"/>
      <c r="DC13" s="55"/>
      <c r="DD13" s="55"/>
      <c r="DE13" s="55"/>
      <c r="DF13" s="55"/>
      <c r="DG13" s="55"/>
      <c r="DH13" s="55"/>
      <c r="DI13" s="55"/>
      <c r="DJ13" s="55"/>
      <c r="DK13" s="55"/>
      <c r="DL13" s="55"/>
      <c r="DM13" s="55"/>
      <c r="DN13" s="55"/>
      <c r="DO13" s="55"/>
      <c r="DP13" s="55"/>
      <c r="DQ13" s="55"/>
      <c r="DR13" s="55"/>
      <c r="DS13" s="55"/>
      <c r="DT13" s="55"/>
      <c r="DU13" s="55"/>
      <c r="DV13" s="55"/>
      <c r="DW13" s="55"/>
      <c r="DX13" s="55"/>
      <c r="DY13" s="55"/>
      <c r="DZ13" s="55"/>
      <c r="EA13" s="55"/>
      <c r="EB13" s="55"/>
      <c r="EC13" s="55"/>
      <c r="ED13" s="55"/>
      <c r="EE13" s="55"/>
      <c r="EF13" s="55"/>
      <c r="EG13" s="55"/>
      <c r="EH13" s="55"/>
      <c r="EI13" s="55"/>
      <c r="EJ13" s="55"/>
      <c r="EK13" s="55"/>
      <c r="EL13" s="55"/>
      <c r="EM13" s="55"/>
      <c r="EN13" s="55"/>
      <c r="EO13" s="55"/>
      <c r="EP13" s="55"/>
      <c r="EQ13" s="55"/>
      <c r="ER13" s="55"/>
      <c r="ES13" s="55"/>
      <c r="ET13" s="55"/>
      <c r="EU13" s="55"/>
      <c r="EV13" s="55"/>
      <c r="EW13" s="55"/>
      <c r="EX13" s="55"/>
      <c r="EY13" s="55"/>
      <c r="EZ13" s="55"/>
      <c r="FA13" s="55"/>
      <c r="FB13" s="55"/>
      <c r="FC13" s="55"/>
      <c r="FD13" s="55"/>
      <c r="FE13" s="55"/>
      <c r="FF13" s="55"/>
      <c r="FG13" s="55"/>
      <c r="FH13" s="55"/>
      <c r="FI13" s="55"/>
      <c r="FJ13" s="55"/>
      <c r="FK13" s="55"/>
      <c r="FL13" s="55"/>
      <c r="FM13" s="55"/>
      <c r="FN13" s="55"/>
      <c r="FO13" s="55"/>
      <c r="FP13" s="55"/>
      <c r="FQ13" s="55"/>
      <c r="FR13" s="55"/>
      <c r="FS13" s="55"/>
      <c r="FT13" s="55"/>
      <c r="FU13" s="55"/>
      <c r="FV13" s="55"/>
      <c r="FW13" s="55"/>
      <c r="FX13" s="55"/>
      <c r="FY13" s="55"/>
      <c r="FZ13" s="55"/>
      <c r="GA13" s="55"/>
      <c r="GB13" s="55"/>
      <c r="GC13" s="55"/>
      <c r="GD13" s="55"/>
      <c r="GE13" s="55"/>
      <c r="GF13" s="55"/>
      <c r="GG13" s="55"/>
      <c r="GH13" s="55"/>
      <c r="GI13" s="55"/>
      <c r="GJ13" s="55"/>
      <c r="GK13" s="55"/>
      <c r="GL13" s="55"/>
      <c r="GM13" s="55"/>
      <c r="GN13" s="55"/>
      <c r="GO13" s="55"/>
      <c r="GP13" s="55"/>
      <c r="GQ13" s="55"/>
      <c r="GR13" s="55"/>
      <c r="GS13" s="55"/>
      <c r="GT13" s="55"/>
      <c r="GU13" s="55"/>
      <c r="GV13" s="55"/>
      <c r="GW13" s="55"/>
      <c r="GX13" s="55"/>
      <c r="GY13" s="55"/>
      <c r="GZ13" s="55"/>
      <c r="HA13" s="55"/>
      <c r="HB13" s="55"/>
      <c r="HC13" s="55"/>
      <c r="HD13" s="55"/>
      <c r="HE13" s="55"/>
      <c r="HF13" s="55"/>
      <c r="HG13" s="55"/>
      <c r="HH13" s="55"/>
      <c r="HI13" s="55"/>
      <c r="HJ13" s="55"/>
      <c r="HK13" s="55"/>
      <c r="HL13" s="55"/>
      <c r="HM13" s="55"/>
      <c r="HN13" s="55"/>
    </row>
    <row r="14" spans="1:222">
      <c r="A14" s="55"/>
      <c r="B14" s="56"/>
      <c r="C14" s="125" t="s">
        <v>125</v>
      </c>
      <c r="D14" s="56"/>
      <c r="E14" s="56"/>
      <c r="F14" s="163">
        <v>1664</v>
      </c>
      <c r="G14" s="163">
        <v>1827</v>
      </c>
      <c r="H14" s="86">
        <f>'Working Capital Schedule'!H22</f>
        <v>1928.1401678321974</v>
      </c>
      <c r="I14" s="86">
        <f>'Working Capital Schedule'!I22</f>
        <v>2040.5325237405875</v>
      </c>
      <c r="J14" s="86">
        <f>'Working Capital Schedule'!J22</f>
        <v>2154.6020944342963</v>
      </c>
      <c r="K14" s="86">
        <f>'Working Capital Schedule'!K22</f>
        <v>2288.6247720853848</v>
      </c>
      <c r="L14" s="86">
        <f>'Working Capital Schedule'!L22</f>
        <v>2424.3513857386793</v>
      </c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  <c r="CJ14" s="55"/>
      <c r="CK14" s="55"/>
      <c r="CL14" s="55"/>
      <c r="CM14" s="55"/>
      <c r="CN14" s="55"/>
      <c r="CO14" s="55"/>
      <c r="CP14" s="55"/>
      <c r="CQ14" s="55"/>
      <c r="CR14" s="55"/>
      <c r="CS14" s="55"/>
      <c r="CT14" s="55"/>
      <c r="CU14" s="55"/>
      <c r="CV14" s="55"/>
      <c r="CW14" s="55"/>
      <c r="CX14" s="55"/>
      <c r="CY14" s="55"/>
      <c r="CZ14" s="55"/>
      <c r="DA14" s="55"/>
      <c r="DB14" s="55"/>
      <c r="DC14" s="55"/>
      <c r="DD14" s="55"/>
      <c r="DE14" s="55"/>
      <c r="DF14" s="55"/>
      <c r="DG14" s="55"/>
      <c r="DH14" s="55"/>
      <c r="DI14" s="55"/>
      <c r="DJ14" s="55"/>
      <c r="DK14" s="55"/>
      <c r="DL14" s="55"/>
      <c r="DM14" s="55"/>
      <c r="DN14" s="55"/>
      <c r="DO14" s="55"/>
      <c r="DP14" s="55"/>
      <c r="DQ14" s="55"/>
      <c r="DR14" s="55"/>
      <c r="DS14" s="55"/>
      <c r="DT14" s="55"/>
      <c r="DU14" s="55"/>
      <c r="DV14" s="55"/>
      <c r="DW14" s="55"/>
      <c r="DX14" s="55"/>
      <c r="DY14" s="55"/>
      <c r="DZ14" s="55"/>
      <c r="EA14" s="55"/>
      <c r="EB14" s="55"/>
      <c r="EC14" s="55"/>
      <c r="ED14" s="55"/>
      <c r="EE14" s="55"/>
      <c r="EF14" s="55"/>
      <c r="EG14" s="55"/>
      <c r="EH14" s="55"/>
      <c r="EI14" s="55"/>
      <c r="EJ14" s="55"/>
      <c r="EK14" s="55"/>
      <c r="EL14" s="55"/>
      <c r="EM14" s="55"/>
      <c r="EN14" s="55"/>
      <c r="EO14" s="55"/>
      <c r="EP14" s="55"/>
      <c r="EQ14" s="55"/>
      <c r="ER14" s="55"/>
      <c r="ES14" s="55"/>
      <c r="ET14" s="55"/>
      <c r="EU14" s="55"/>
      <c r="EV14" s="55"/>
      <c r="EW14" s="55"/>
      <c r="EX14" s="55"/>
      <c r="EY14" s="55"/>
      <c r="EZ14" s="55"/>
      <c r="FA14" s="55"/>
      <c r="FB14" s="55"/>
      <c r="FC14" s="55"/>
      <c r="FD14" s="55"/>
      <c r="FE14" s="55"/>
      <c r="FF14" s="55"/>
      <c r="FG14" s="55"/>
      <c r="FH14" s="55"/>
      <c r="FI14" s="55"/>
      <c r="FJ14" s="55"/>
      <c r="FK14" s="55"/>
      <c r="FL14" s="55"/>
      <c r="FM14" s="55"/>
      <c r="FN14" s="55"/>
      <c r="FO14" s="55"/>
      <c r="FP14" s="55"/>
      <c r="FQ14" s="55"/>
      <c r="FR14" s="55"/>
      <c r="FS14" s="55"/>
      <c r="FT14" s="55"/>
      <c r="FU14" s="55"/>
      <c r="FV14" s="55"/>
      <c r="FW14" s="55"/>
      <c r="FX14" s="55"/>
      <c r="FY14" s="55"/>
      <c r="FZ14" s="55"/>
      <c r="GA14" s="55"/>
      <c r="GB14" s="55"/>
      <c r="GC14" s="55"/>
      <c r="GD14" s="55"/>
      <c r="GE14" s="55"/>
      <c r="GF14" s="55"/>
      <c r="GG14" s="55"/>
      <c r="GH14" s="55"/>
      <c r="GI14" s="55"/>
      <c r="GJ14" s="55"/>
      <c r="GK14" s="55"/>
      <c r="GL14" s="55"/>
      <c r="GM14" s="55"/>
      <c r="GN14" s="55"/>
      <c r="GO14" s="55"/>
      <c r="GP14" s="55"/>
      <c r="GQ14" s="55"/>
      <c r="GR14" s="55"/>
      <c r="GS14" s="55"/>
      <c r="GT14" s="55"/>
      <c r="GU14" s="55"/>
      <c r="GV14" s="55"/>
      <c r="GW14" s="55"/>
      <c r="GX14" s="55"/>
      <c r="GY14" s="55"/>
      <c r="GZ14" s="55"/>
      <c r="HA14" s="55"/>
      <c r="HB14" s="55"/>
      <c r="HC14" s="55"/>
      <c r="HD14" s="55"/>
      <c r="HE14" s="55"/>
      <c r="HF14" s="55"/>
      <c r="HG14" s="55"/>
      <c r="HH14" s="55"/>
      <c r="HI14" s="55"/>
      <c r="HJ14" s="55"/>
      <c r="HK14" s="55"/>
      <c r="HL14" s="55"/>
      <c r="HM14" s="55"/>
      <c r="HN14" s="55"/>
    </row>
    <row r="15" spans="1:222">
      <c r="A15" s="55"/>
      <c r="B15" s="56"/>
      <c r="C15" s="227" t="s">
        <v>112</v>
      </c>
      <c r="D15" s="56"/>
      <c r="E15" s="56"/>
      <c r="F15" s="917">
        <f t="shared" ref="F15:L15" si="0">SUM(F9:F14)</f>
        <v>58206</v>
      </c>
      <c r="G15" s="917">
        <f t="shared" si="0"/>
        <v>59759</v>
      </c>
      <c r="H15" s="917">
        <f t="shared" si="0"/>
        <v>61109.03323180959</v>
      </c>
      <c r="I15" s="917">
        <f t="shared" si="0"/>
        <v>63066.786993337111</v>
      </c>
      <c r="J15" s="917">
        <f t="shared" si="0"/>
        <v>65425.454296199074</v>
      </c>
      <c r="K15" s="917">
        <f t="shared" si="0"/>
        <v>68119.970190586202</v>
      </c>
      <c r="L15" s="917">
        <f t="shared" si="0"/>
        <v>71826.525489204054</v>
      </c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  <c r="BR15" s="55"/>
      <c r="BS15" s="55"/>
      <c r="BT15" s="55"/>
      <c r="BU15" s="55"/>
      <c r="BV15" s="55"/>
      <c r="BW15" s="55"/>
      <c r="BX15" s="55"/>
      <c r="BY15" s="55"/>
      <c r="BZ15" s="55"/>
      <c r="CA15" s="55"/>
      <c r="CB15" s="55"/>
      <c r="CC15" s="55"/>
      <c r="CD15" s="55"/>
      <c r="CE15" s="55"/>
      <c r="CF15" s="55"/>
      <c r="CG15" s="55"/>
      <c r="CH15" s="55"/>
      <c r="CI15" s="55"/>
      <c r="CJ15" s="55"/>
      <c r="CK15" s="55"/>
      <c r="CL15" s="55"/>
      <c r="CM15" s="55"/>
      <c r="CN15" s="55"/>
      <c r="CO15" s="55"/>
      <c r="CP15" s="55"/>
      <c r="CQ15" s="55"/>
      <c r="CR15" s="55"/>
      <c r="CS15" s="55"/>
      <c r="CT15" s="55"/>
      <c r="CU15" s="55"/>
      <c r="CV15" s="55"/>
      <c r="CW15" s="55"/>
      <c r="CX15" s="55"/>
      <c r="CY15" s="55"/>
      <c r="CZ15" s="55"/>
      <c r="DA15" s="55"/>
      <c r="DB15" s="55"/>
      <c r="DC15" s="55"/>
      <c r="DD15" s="55"/>
      <c r="DE15" s="55"/>
      <c r="DF15" s="55"/>
      <c r="DG15" s="55"/>
      <c r="DH15" s="55"/>
      <c r="DI15" s="55"/>
      <c r="DJ15" s="55"/>
      <c r="DK15" s="55"/>
      <c r="DL15" s="55"/>
      <c r="DM15" s="55"/>
      <c r="DN15" s="55"/>
      <c r="DO15" s="55"/>
      <c r="DP15" s="55"/>
      <c r="DQ15" s="55"/>
      <c r="DR15" s="55"/>
      <c r="DS15" s="55"/>
      <c r="DT15" s="55"/>
      <c r="DU15" s="55"/>
      <c r="DV15" s="55"/>
      <c r="DW15" s="55"/>
      <c r="DX15" s="55"/>
      <c r="DY15" s="55"/>
      <c r="DZ15" s="55"/>
      <c r="EA15" s="55"/>
      <c r="EB15" s="55"/>
      <c r="EC15" s="55"/>
      <c r="ED15" s="55"/>
      <c r="EE15" s="55"/>
      <c r="EF15" s="55"/>
      <c r="EG15" s="55"/>
      <c r="EH15" s="55"/>
      <c r="EI15" s="55"/>
      <c r="EJ15" s="55"/>
      <c r="EK15" s="55"/>
      <c r="EL15" s="55"/>
      <c r="EM15" s="55"/>
      <c r="EN15" s="55"/>
      <c r="EO15" s="55"/>
      <c r="EP15" s="55"/>
      <c r="EQ15" s="55"/>
      <c r="ER15" s="55"/>
      <c r="ES15" s="55"/>
      <c r="ET15" s="55"/>
      <c r="EU15" s="55"/>
      <c r="EV15" s="55"/>
      <c r="EW15" s="55"/>
      <c r="EX15" s="55"/>
      <c r="EY15" s="55"/>
      <c r="EZ15" s="55"/>
      <c r="FA15" s="55"/>
      <c r="FB15" s="55"/>
      <c r="FC15" s="55"/>
      <c r="FD15" s="55"/>
      <c r="FE15" s="55"/>
      <c r="FF15" s="55"/>
      <c r="FG15" s="55"/>
      <c r="FH15" s="55"/>
      <c r="FI15" s="55"/>
      <c r="FJ15" s="55"/>
      <c r="FK15" s="55"/>
      <c r="FL15" s="55"/>
      <c r="FM15" s="55"/>
      <c r="FN15" s="55"/>
      <c r="FO15" s="55"/>
      <c r="FP15" s="55"/>
      <c r="FQ15" s="55"/>
      <c r="FR15" s="55"/>
      <c r="FS15" s="55"/>
      <c r="FT15" s="55"/>
      <c r="FU15" s="55"/>
      <c r="FV15" s="55"/>
      <c r="FW15" s="55"/>
      <c r="FX15" s="55"/>
      <c r="FY15" s="55"/>
      <c r="FZ15" s="55"/>
      <c r="GA15" s="55"/>
      <c r="GB15" s="55"/>
      <c r="GC15" s="55"/>
      <c r="GD15" s="55"/>
      <c r="GE15" s="55"/>
      <c r="GF15" s="55"/>
      <c r="GG15" s="55"/>
      <c r="GH15" s="55"/>
      <c r="GI15" s="55"/>
      <c r="GJ15" s="55"/>
      <c r="GK15" s="55"/>
      <c r="GL15" s="55"/>
      <c r="GM15" s="55"/>
      <c r="GN15" s="55"/>
      <c r="GO15" s="55"/>
      <c r="GP15" s="55"/>
      <c r="GQ15" s="55"/>
      <c r="GR15" s="55"/>
      <c r="GS15" s="55"/>
      <c r="GT15" s="55"/>
      <c r="GU15" s="55"/>
      <c r="GV15" s="55"/>
      <c r="GW15" s="55"/>
      <c r="GX15" s="55"/>
      <c r="GY15" s="55"/>
      <c r="GZ15" s="55"/>
      <c r="HA15" s="55"/>
      <c r="HB15" s="55"/>
      <c r="HC15" s="55"/>
      <c r="HD15" s="55"/>
      <c r="HE15" s="55"/>
      <c r="HF15" s="55"/>
      <c r="HG15" s="55"/>
      <c r="HH15" s="55"/>
      <c r="HI15" s="55"/>
      <c r="HJ15" s="55"/>
      <c r="HK15" s="55"/>
      <c r="HL15" s="55"/>
      <c r="HM15" s="55"/>
      <c r="HN15" s="55"/>
    </row>
    <row r="16" spans="1:222">
      <c r="A16" s="55"/>
      <c r="B16" s="56"/>
      <c r="C16" s="56"/>
      <c r="D16" s="56"/>
      <c r="E16" s="56"/>
      <c r="F16" s="97"/>
      <c r="G16" s="774"/>
      <c r="H16" s="774"/>
      <c r="I16" s="774"/>
      <c r="J16" s="774"/>
      <c r="K16" s="774"/>
      <c r="L16" s="774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55"/>
      <c r="BJ16" s="55"/>
      <c r="BK16" s="55"/>
      <c r="BL16" s="55"/>
      <c r="BM16" s="55"/>
      <c r="BN16" s="55"/>
      <c r="BO16" s="55"/>
      <c r="BP16" s="55"/>
      <c r="BQ16" s="55"/>
      <c r="BR16" s="55"/>
      <c r="BS16" s="55"/>
      <c r="BT16" s="55"/>
      <c r="BU16" s="55"/>
      <c r="BV16" s="55"/>
      <c r="BW16" s="55"/>
      <c r="BX16" s="55"/>
      <c r="BY16" s="55"/>
      <c r="BZ16" s="55"/>
      <c r="CA16" s="55"/>
      <c r="CB16" s="55"/>
      <c r="CC16" s="55"/>
      <c r="CD16" s="55"/>
      <c r="CE16" s="55"/>
      <c r="CF16" s="55"/>
      <c r="CG16" s="55"/>
      <c r="CH16" s="55"/>
      <c r="CI16" s="55"/>
      <c r="CJ16" s="55"/>
      <c r="CK16" s="55"/>
      <c r="CL16" s="55"/>
      <c r="CM16" s="55"/>
      <c r="CN16" s="55"/>
      <c r="CO16" s="55"/>
      <c r="CP16" s="55"/>
      <c r="CQ16" s="55"/>
      <c r="CR16" s="55"/>
      <c r="CS16" s="55"/>
      <c r="CT16" s="55"/>
      <c r="CU16" s="55"/>
      <c r="CV16" s="55"/>
      <c r="CW16" s="55"/>
      <c r="CX16" s="55"/>
      <c r="CY16" s="55"/>
      <c r="CZ16" s="55"/>
      <c r="DA16" s="55"/>
      <c r="DB16" s="55"/>
      <c r="DC16" s="55"/>
      <c r="DD16" s="55"/>
      <c r="DE16" s="55"/>
      <c r="DF16" s="55"/>
      <c r="DG16" s="55"/>
      <c r="DH16" s="55"/>
      <c r="DI16" s="55"/>
      <c r="DJ16" s="55"/>
      <c r="DK16" s="55"/>
      <c r="DL16" s="55"/>
      <c r="DM16" s="55"/>
      <c r="DN16" s="55"/>
      <c r="DO16" s="55"/>
      <c r="DP16" s="55"/>
      <c r="DQ16" s="55"/>
      <c r="DR16" s="55"/>
      <c r="DS16" s="55"/>
      <c r="DT16" s="55"/>
      <c r="DU16" s="55"/>
      <c r="DV16" s="55"/>
      <c r="DW16" s="55"/>
      <c r="DX16" s="55"/>
      <c r="DY16" s="55"/>
      <c r="DZ16" s="55"/>
      <c r="EA16" s="55"/>
      <c r="EB16" s="55"/>
      <c r="EC16" s="55"/>
      <c r="ED16" s="55"/>
      <c r="EE16" s="55"/>
      <c r="EF16" s="55"/>
      <c r="EG16" s="55"/>
      <c r="EH16" s="55"/>
      <c r="EI16" s="55"/>
      <c r="EJ16" s="55"/>
      <c r="EK16" s="55"/>
      <c r="EL16" s="55"/>
      <c r="EM16" s="55"/>
      <c r="EN16" s="55"/>
      <c r="EO16" s="55"/>
      <c r="EP16" s="55"/>
      <c r="EQ16" s="55"/>
      <c r="ER16" s="55"/>
      <c r="ES16" s="55"/>
      <c r="ET16" s="55"/>
      <c r="EU16" s="55"/>
      <c r="EV16" s="55"/>
      <c r="EW16" s="55"/>
      <c r="EX16" s="55"/>
      <c r="EY16" s="55"/>
      <c r="EZ16" s="55"/>
      <c r="FA16" s="55"/>
      <c r="FB16" s="55"/>
      <c r="FC16" s="55"/>
      <c r="FD16" s="55"/>
      <c r="FE16" s="55"/>
      <c r="FF16" s="55"/>
      <c r="FG16" s="55"/>
      <c r="FH16" s="55"/>
      <c r="FI16" s="55"/>
      <c r="FJ16" s="55"/>
      <c r="FK16" s="55"/>
      <c r="FL16" s="55"/>
      <c r="FM16" s="55"/>
      <c r="FN16" s="55"/>
      <c r="FO16" s="55"/>
      <c r="FP16" s="55"/>
      <c r="FQ16" s="55"/>
      <c r="FR16" s="55"/>
      <c r="FS16" s="55"/>
      <c r="FT16" s="55"/>
      <c r="FU16" s="55"/>
      <c r="FV16" s="55"/>
      <c r="FW16" s="55"/>
      <c r="FX16" s="55"/>
      <c r="FY16" s="55"/>
      <c r="FZ16" s="55"/>
      <c r="GA16" s="55"/>
      <c r="GB16" s="55"/>
      <c r="GC16" s="55"/>
      <c r="GD16" s="55"/>
      <c r="GE16" s="55"/>
      <c r="GF16" s="55"/>
      <c r="GG16" s="55"/>
      <c r="GH16" s="55"/>
      <c r="GI16" s="55"/>
      <c r="GJ16" s="55"/>
      <c r="GK16" s="55"/>
      <c r="GL16" s="55"/>
      <c r="GM16" s="55"/>
      <c r="GN16" s="55"/>
      <c r="GO16" s="55"/>
      <c r="GP16" s="55"/>
      <c r="GQ16" s="55"/>
      <c r="GR16" s="55"/>
      <c r="GS16" s="55"/>
      <c r="GT16" s="55"/>
      <c r="GU16" s="55"/>
      <c r="GV16" s="55"/>
      <c r="GW16" s="55"/>
      <c r="GX16" s="55"/>
      <c r="GY16" s="55"/>
      <c r="GZ16" s="55"/>
      <c r="HA16" s="55"/>
      <c r="HB16" s="55"/>
      <c r="HC16" s="55"/>
      <c r="HD16" s="55"/>
      <c r="HE16" s="55"/>
      <c r="HF16" s="55"/>
      <c r="HG16" s="55"/>
      <c r="HH16" s="55"/>
      <c r="HI16" s="55"/>
      <c r="HJ16" s="55"/>
      <c r="HK16" s="55"/>
      <c r="HL16" s="55"/>
      <c r="HM16" s="55"/>
      <c r="HN16" s="55"/>
    </row>
    <row r="17" spans="1:222">
      <c r="A17" s="55"/>
      <c r="B17" s="56"/>
      <c r="C17" s="125" t="s">
        <v>126</v>
      </c>
      <c r="D17" s="56"/>
      <c r="E17" s="56"/>
      <c r="F17" s="31">
        <v>4583</v>
      </c>
      <c r="G17" s="31">
        <v>4330</v>
      </c>
      <c r="H17" s="230">
        <f>G17</f>
        <v>4330</v>
      </c>
      <c r="I17" s="230">
        <f t="shared" ref="I17:L17" si="1">H17</f>
        <v>4330</v>
      </c>
      <c r="J17" s="230">
        <f t="shared" si="1"/>
        <v>4330</v>
      </c>
      <c r="K17" s="230">
        <f t="shared" si="1"/>
        <v>4330</v>
      </c>
      <c r="L17" s="230">
        <f t="shared" si="1"/>
        <v>4330</v>
      </c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K17" s="55"/>
      <c r="BL17" s="55"/>
      <c r="BM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/>
      <c r="BX17" s="55"/>
      <c r="BY17" s="55"/>
      <c r="BZ17" s="55"/>
      <c r="CA17" s="55"/>
      <c r="CB17" s="55"/>
      <c r="CC17" s="55"/>
      <c r="CD17" s="55"/>
      <c r="CE17" s="55"/>
      <c r="CF17" s="55"/>
      <c r="CG17" s="55"/>
      <c r="CH17" s="55"/>
      <c r="CI17" s="55"/>
      <c r="CJ17" s="55"/>
      <c r="CK17" s="55"/>
      <c r="CL17" s="55"/>
      <c r="CM17" s="55"/>
      <c r="CN17" s="55"/>
      <c r="CO17" s="55"/>
      <c r="CP17" s="55"/>
      <c r="CQ17" s="55"/>
      <c r="CR17" s="55"/>
      <c r="CS17" s="55"/>
      <c r="CT17" s="55"/>
      <c r="CU17" s="55"/>
      <c r="CV17" s="55"/>
      <c r="CW17" s="55"/>
      <c r="CX17" s="55"/>
      <c r="CY17" s="55"/>
      <c r="CZ17" s="55"/>
      <c r="DA17" s="55"/>
      <c r="DB17" s="55"/>
      <c r="DC17" s="55"/>
      <c r="DD17" s="55"/>
      <c r="DE17" s="55"/>
      <c r="DF17" s="55"/>
      <c r="DG17" s="55"/>
      <c r="DH17" s="55"/>
      <c r="DI17" s="55"/>
      <c r="DJ17" s="55"/>
      <c r="DK17" s="55"/>
      <c r="DL17" s="55"/>
      <c r="DM17" s="55"/>
      <c r="DN17" s="55"/>
      <c r="DO17" s="55"/>
      <c r="DP17" s="55"/>
      <c r="DQ17" s="55"/>
      <c r="DR17" s="55"/>
      <c r="DS17" s="55"/>
      <c r="DT17" s="55"/>
      <c r="DU17" s="55"/>
      <c r="DV17" s="55"/>
      <c r="DW17" s="55"/>
      <c r="DX17" s="55"/>
      <c r="DY17" s="55"/>
      <c r="DZ17" s="55"/>
      <c r="EA17" s="55"/>
      <c r="EB17" s="55"/>
      <c r="EC17" s="55"/>
      <c r="ED17" s="55"/>
      <c r="EE17" s="55"/>
      <c r="EF17" s="55"/>
      <c r="EG17" s="55"/>
      <c r="EH17" s="55"/>
      <c r="EI17" s="55"/>
      <c r="EJ17" s="55"/>
      <c r="EK17" s="55"/>
      <c r="EL17" s="55"/>
      <c r="EM17" s="55"/>
      <c r="EN17" s="55"/>
      <c r="EO17" s="55"/>
      <c r="EP17" s="55"/>
      <c r="EQ17" s="55"/>
      <c r="ER17" s="55"/>
      <c r="ES17" s="55"/>
      <c r="ET17" s="55"/>
      <c r="EU17" s="55"/>
      <c r="EV17" s="55"/>
      <c r="EW17" s="55"/>
      <c r="EX17" s="55"/>
      <c r="EY17" s="55"/>
      <c r="EZ17" s="55"/>
      <c r="FA17" s="55"/>
      <c r="FB17" s="55"/>
      <c r="FC17" s="55"/>
      <c r="FD17" s="55"/>
      <c r="FE17" s="55"/>
      <c r="FF17" s="55"/>
      <c r="FG17" s="55"/>
      <c r="FH17" s="55"/>
      <c r="FI17" s="55"/>
      <c r="FJ17" s="55"/>
      <c r="FK17" s="55"/>
      <c r="FL17" s="55"/>
      <c r="FM17" s="55"/>
      <c r="FN17" s="55"/>
      <c r="FO17" s="55"/>
      <c r="FP17" s="55"/>
      <c r="FQ17" s="55"/>
      <c r="FR17" s="55"/>
      <c r="FS17" s="55"/>
      <c r="FT17" s="55"/>
      <c r="FU17" s="55"/>
      <c r="FV17" s="55"/>
      <c r="FW17" s="55"/>
      <c r="FX17" s="55"/>
      <c r="FY17" s="55"/>
      <c r="FZ17" s="55"/>
      <c r="GA17" s="55"/>
      <c r="GB17" s="55"/>
      <c r="GC17" s="55"/>
      <c r="GD17" s="55"/>
      <c r="GE17" s="55"/>
      <c r="GF17" s="55"/>
      <c r="GG17" s="55"/>
      <c r="GH17" s="55"/>
      <c r="GI17" s="55"/>
      <c r="GJ17" s="55"/>
      <c r="GK17" s="55"/>
      <c r="GL17" s="55"/>
      <c r="GM17" s="55"/>
      <c r="GN17" s="55"/>
      <c r="GO17" s="55"/>
      <c r="GP17" s="55"/>
      <c r="GQ17" s="55"/>
      <c r="GR17" s="55"/>
      <c r="GS17" s="55"/>
      <c r="GT17" s="55"/>
      <c r="GU17" s="55"/>
      <c r="GV17" s="55"/>
      <c r="GW17" s="55"/>
      <c r="GX17" s="55"/>
      <c r="GY17" s="55"/>
      <c r="GZ17" s="55"/>
      <c r="HA17" s="55"/>
      <c r="HB17" s="55"/>
      <c r="HC17" s="55"/>
      <c r="HD17" s="55"/>
      <c r="HE17" s="55"/>
      <c r="HF17" s="55"/>
      <c r="HG17" s="55"/>
      <c r="HH17" s="55"/>
      <c r="HI17" s="55"/>
      <c r="HJ17" s="55"/>
      <c r="HK17" s="55"/>
      <c r="HL17" s="55"/>
      <c r="HM17" s="55"/>
      <c r="HN17" s="55"/>
    </row>
    <row r="18" spans="1:222">
      <c r="A18" s="55"/>
      <c r="B18" s="56"/>
      <c r="C18" s="125" t="s">
        <v>224</v>
      </c>
      <c r="D18" s="56"/>
      <c r="E18" s="56"/>
      <c r="F18" s="36">
        <v>1508</v>
      </c>
      <c r="G18" s="36">
        <v>1700</v>
      </c>
      <c r="H18" s="99">
        <f>'D&amp;A Schedule'!G25</f>
        <v>1749.5112518596507</v>
      </c>
      <c r="I18" s="99">
        <f>'D&amp;A Schedule'!H25</f>
        <v>1788.1557836957818</v>
      </c>
      <c r="J18" s="99">
        <f>'D&amp;A Schedule'!I25</f>
        <v>1815.1302666785775</v>
      </c>
      <c r="K18" s="99">
        <f>'D&amp;A Schedule'!J25</f>
        <v>1829.3684287135097</v>
      </c>
      <c r="L18" s="99">
        <f>'D&amp;A Schedule'!K25</f>
        <v>1829.4846738004298</v>
      </c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  <c r="BO18" s="55"/>
      <c r="BP18" s="55"/>
      <c r="BQ18" s="55"/>
      <c r="BR18" s="55"/>
      <c r="BS18" s="55"/>
      <c r="BT18" s="55"/>
      <c r="BU18" s="55"/>
      <c r="BV18" s="55"/>
      <c r="BW18" s="55"/>
      <c r="BX18" s="55"/>
      <c r="BY18" s="55"/>
      <c r="BZ18" s="55"/>
      <c r="CA18" s="55"/>
      <c r="CB18" s="55"/>
      <c r="CC18" s="55"/>
      <c r="CD18" s="55"/>
      <c r="CE18" s="55"/>
      <c r="CF18" s="55"/>
      <c r="CG18" s="55"/>
      <c r="CH18" s="55"/>
      <c r="CI18" s="55"/>
      <c r="CJ18" s="55"/>
      <c r="CK18" s="55"/>
      <c r="CL18" s="55"/>
      <c r="CM18" s="55"/>
      <c r="CN18" s="55"/>
      <c r="CO18" s="55"/>
      <c r="CP18" s="55"/>
      <c r="CQ18" s="55"/>
      <c r="CR18" s="55"/>
      <c r="CS18" s="55"/>
      <c r="CT18" s="55"/>
      <c r="CU18" s="55"/>
      <c r="CV18" s="55"/>
      <c r="CW18" s="55"/>
      <c r="CX18" s="55"/>
      <c r="CY18" s="55"/>
      <c r="CZ18" s="55"/>
      <c r="DA18" s="55"/>
      <c r="DB18" s="55"/>
      <c r="DC18" s="55"/>
      <c r="DD18" s="55"/>
      <c r="DE18" s="55"/>
      <c r="DF18" s="55"/>
      <c r="DG18" s="55"/>
      <c r="DH18" s="55"/>
      <c r="DI18" s="55"/>
      <c r="DJ18" s="55"/>
      <c r="DK18" s="55"/>
      <c r="DL18" s="55"/>
      <c r="DM18" s="55"/>
      <c r="DN18" s="55"/>
      <c r="DO18" s="55"/>
      <c r="DP18" s="55"/>
      <c r="DQ18" s="55"/>
      <c r="DR18" s="55"/>
      <c r="DS18" s="55"/>
      <c r="DT18" s="55"/>
      <c r="DU18" s="55"/>
      <c r="DV18" s="55"/>
      <c r="DW18" s="55"/>
      <c r="DX18" s="55"/>
      <c r="DY18" s="55"/>
      <c r="DZ18" s="55"/>
      <c r="EA18" s="55"/>
      <c r="EB18" s="55"/>
      <c r="EC18" s="55"/>
      <c r="ED18" s="55"/>
      <c r="EE18" s="55"/>
      <c r="EF18" s="55"/>
      <c r="EG18" s="55"/>
      <c r="EH18" s="55"/>
      <c r="EI18" s="55"/>
      <c r="EJ18" s="55"/>
      <c r="EK18" s="55"/>
      <c r="EL18" s="55"/>
      <c r="EM18" s="55"/>
      <c r="EN18" s="55"/>
      <c r="EO18" s="55"/>
      <c r="EP18" s="55"/>
      <c r="EQ18" s="55"/>
      <c r="ER18" s="55"/>
      <c r="ES18" s="55"/>
      <c r="ET18" s="55"/>
      <c r="EU18" s="55"/>
      <c r="EV18" s="55"/>
      <c r="EW18" s="55"/>
      <c r="EX18" s="55"/>
      <c r="EY18" s="55"/>
      <c r="EZ18" s="55"/>
      <c r="FA18" s="55"/>
      <c r="FB18" s="55"/>
      <c r="FC18" s="55"/>
      <c r="FD18" s="55"/>
      <c r="FE18" s="55"/>
      <c r="FF18" s="55"/>
      <c r="FG18" s="55"/>
      <c r="FH18" s="55"/>
      <c r="FI18" s="55"/>
      <c r="FJ18" s="55"/>
      <c r="FK18" s="55"/>
      <c r="FL18" s="55"/>
      <c r="FM18" s="55"/>
      <c r="FN18" s="55"/>
      <c r="FO18" s="55"/>
      <c r="FP18" s="55"/>
      <c r="FQ18" s="55"/>
      <c r="FR18" s="55"/>
      <c r="FS18" s="55"/>
      <c r="FT18" s="55"/>
      <c r="FU18" s="55"/>
      <c r="FV18" s="55"/>
      <c r="FW18" s="55"/>
      <c r="FX18" s="55"/>
      <c r="FY18" s="55"/>
      <c r="FZ18" s="55"/>
      <c r="GA18" s="55"/>
      <c r="GB18" s="55"/>
      <c r="GC18" s="55"/>
      <c r="GD18" s="55"/>
      <c r="GE18" s="55"/>
      <c r="GF18" s="55"/>
      <c r="GG18" s="55"/>
      <c r="GH18" s="55"/>
      <c r="GI18" s="55"/>
      <c r="GJ18" s="55"/>
      <c r="GK18" s="55"/>
      <c r="GL18" s="55"/>
      <c r="GM18" s="55"/>
      <c r="GN18" s="55"/>
      <c r="GO18" s="55"/>
      <c r="GP18" s="55"/>
      <c r="GQ18" s="55"/>
      <c r="GR18" s="55"/>
      <c r="GS18" s="55"/>
      <c r="GT18" s="55"/>
      <c r="GU18" s="55"/>
      <c r="GV18" s="55"/>
      <c r="GW18" s="55"/>
      <c r="GX18" s="55"/>
      <c r="GY18" s="55"/>
      <c r="GZ18" s="55"/>
      <c r="HA18" s="55"/>
      <c r="HB18" s="55"/>
      <c r="HC18" s="55"/>
      <c r="HD18" s="55"/>
      <c r="HE18" s="55"/>
      <c r="HF18" s="55"/>
      <c r="HG18" s="55"/>
      <c r="HH18" s="55"/>
      <c r="HI18" s="55"/>
      <c r="HJ18" s="55"/>
      <c r="HK18" s="55"/>
      <c r="HL18" s="55"/>
      <c r="HM18" s="55"/>
      <c r="HN18" s="55"/>
    </row>
    <row r="19" spans="1:222">
      <c r="A19" s="55"/>
      <c r="B19" s="56"/>
      <c r="C19" s="125" t="s">
        <v>86</v>
      </c>
      <c r="D19" s="56"/>
      <c r="E19" s="56"/>
      <c r="F19" s="36">
        <v>10837</v>
      </c>
      <c r="G19" s="36">
        <v>10864</v>
      </c>
      <c r="H19" s="242">
        <f>G19</f>
        <v>10864</v>
      </c>
      <c r="I19" s="242">
        <f t="shared" ref="I19:L19" si="2">H19</f>
        <v>10864</v>
      </c>
      <c r="J19" s="242">
        <f t="shared" si="2"/>
        <v>10864</v>
      </c>
      <c r="K19" s="242">
        <f t="shared" si="2"/>
        <v>10864</v>
      </c>
      <c r="L19" s="242">
        <f t="shared" si="2"/>
        <v>10864</v>
      </c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K19" s="55"/>
      <c r="BL19" s="55"/>
      <c r="BM19" s="55"/>
      <c r="BN19" s="55"/>
      <c r="BO19" s="55"/>
      <c r="BP19" s="55"/>
      <c r="BQ19" s="55"/>
      <c r="BR19" s="55"/>
      <c r="BS19" s="55"/>
      <c r="BT19" s="55"/>
      <c r="BU19" s="55"/>
      <c r="BV19" s="55"/>
      <c r="BW19" s="55"/>
      <c r="BX19" s="55"/>
      <c r="BY19" s="55"/>
      <c r="BZ19" s="55"/>
      <c r="CA19" s="55"/>
      <c r="CB19" s="55"/>
      <c r="CC19" s="55"/>
      <c r="CD19" s="55"/>
      <c r="CE19" s="55"/>
      <c r="CF19" s="55"/>
      <c r="CG19" s="55"/>
      <c r="CH19" s="55"/>
      <c r="CI19" s="55"/>
      <c r="CJ19" s="55"/>
      <c r="CK19" s="55"/>
      <c r="CL19" s="55"/>
      <c r="CM19" s="55"/>
      <c r="CN19" s="55"/>
      <c r="CO19" s="55"/>
      <c r="CP19" s="55"/>
      <c r="CQ19" s="55"/>
      <c r="CR19" s="55"/>
      <c r="CS19" s="55"/>
      <c r="CT19" s="55"/>
      <c r="CU19" s="55"/>
      <c r="CV19" s="55"/>
      <c r="CW19" s="55"/>
      <c r="CX19" s="55"/>
      <c r="CY19" s="55"/>
      <c r="CZ19" s="55"/>
      <c r="DA19" s="55"/>
      <c r="DB19" s="55"/>
      <c r="DC19" s="55"/>
      <c r="DD19" s="55"/>
      <c r="DE19" s="55"/>
      <c r="DF19" s="55"/>
      <c r="DG19" s="55"/>
      <c r="DH19" s="55"/>
      <c r="DI19" s="55"/>
      <c r="DJ19" s="55"/>
      <c r="DK19" s="55"/>
      <c r="DL19" s="55"/>
      <c r="DM19" s="55"/>
      <c r="DN19" s="55"/>
      <c r="DO19" s="55"/>
      <c r="DP19" s="55"/>
      <c r="DQ19" s="55"/>
      <c r="DR19" s="55"/>
      <c r="DS19" s="55"/>
      <c r="DT19" s="55"/>
      <c r="DU19" s="55"/>
      <c r="DV19" s="55"/>
      <c r="DW19" s="55"/>
      <c r="DX19" s="55"/>
      <c r="DY19" s="55"/>
      <c r="DZ19" s="55"/>
      <c r="EA19" s="55"/>
      <c r="EB19" s="55"/>
      <c r="EC19" s="55"/>
      <c r="ED19" s="55"/>
      <c r="EE19" s="55"/>
      <c r="EF19" s="55"/>
      <c r="EG19" s="55"/>
      <c r="EH19" s="55"/>
      <c r="EI19" s="55"/>
      <c r="EJ19" s="55"/>
      <c r="EK19" s="55"/>
      <c r="EL19" s="55"/>
      <c r="EM19" s="55"/>
      <c r="EN19" s="55"/>
      <c r="EO19" s="55"/>
      <c r="EP19" s="55"/>
      <c r="EQ19" s="55"/>
      <c r="ER19" s="55"/>
      <c r="ES19" s="55"/>
      <c r="ET19" s="55"/>
      <c r="EU19" s="55"/>
      <c r="EV19" s="55"/>
      <c r="EW19" s="55"/>
      <c r="EX19" s="55"/>
      <c r="EY19" s="55"/>
      <c r="EZ19" s="55"/>
      <c r="FA19" s="55"/>
      <c r="FB19" s="55"/>
      <c r="FC19" s="55"/>
      <c r="FD19" s="55"/>
      <c r="FE19" s="55"/>
      <c r="FF19" s="55"/>
      <c r="FG19" s="55"/>
      <c r="FH19" s="55"/>
      <c r="FI19" s="55"/>
      <c r="FJ19" s="55"/>
      <c r="FK19" s="55"/>
      <c r="FL19" s="55"/>
      <c r="FM19" s="55"/>
      <c r="FN19" s="55"/>
      <c r="FO19" s="55"/>
      <c r="FP19" s="55"/>
      <c r="FQ19" s="55"/>
      <c r="FR19" s="55"/>
      <c r="FS19" s="55"/>
      <c r="FT19" s="55"/>
      <c r="FU19" s="55"/>
      <c r="FV19" s="55"/>
      <c r="FW19" s="55"/>
      <c r="FX19" s="55"/>
      <c r="FY19" s="55"/>
      <c r="FZ19" s="55"/>
      <c r="GA19" s="55"/>
      <c r="GB19" s="55"/>
      <c r="GC19" s="55"/>
      <c r="GD19" s="55"/>
      <c r="GE19" s="55"/>
      <c r="GF19" s="55"/>
      <c r="GG19" s="55"/>
      <c r="GH19" s="55"/>
      <c r="GI19" s="55"/>
      <c r="GJ19" s="55"/>
      <c r="GK19" s="55"/>
      <c r="GL19" s="55"/>
      <c r="GM19" s="55"/>
      <c r="GN19" s="55"/>
      <c r="GO19" s="55"/>
      <c r="GP19" s="55"/>
      <c r="GQ19" s="55"/>
      <c r="GR19" s="55"/>
      <c r="GS19" s="55"/>
      <c r="GT19" s="55"/>
      <c r="GU19" s="55"/>
      <c r="GV19" s="55"/>
      <c r="GW19" s="55"/>
      <c r="GX19" s="55"/>
      <c r="GY19" s="55"/>
      <c r="GZ19" s="55"/>
      <c r="HA19" s="55"/>
      <c r="HB19" s="55"/>
      <c r="HC19" s="55"/>
      <c r="HD19" s="55"/>
      <c r="HE19" s="55"/>
      <c r="HF19" s="55"/>
      <c r="HG19" s="55"/>
      <c r="HH19" s="55"/>
      <c r="HI19" s="55"/>
      <c r="HJ19" s="55"/>
      <c r="HK19" s="55"/>
      <c r="HL19" s="55"/>
      <c r="HM19" s="55"/>
      <c r="HN19" s="55"/>
    </row>
    <row r="20" spans="1:222">
      <c r="A20" s="55"/>
      <c r="B20" s="56"/>
      <c r="C20" s="125" t="s">
        <v>127</v>
      </c>
      <c r="D20" s="56"/>
      <c r="E20" s="56"/>
      <c r="F20" s="36">
        <v>326</v>
      </c>
      <c r="G20" s="36">
        <v>208</v>
      </c>
      <c r="H20" s="99">
        <f>'D&amp;A Schedule'!G11</f>
        <v>110</v>
      </c>
      <c r="I20" s="99">
        <f>'D&amp;A Schedule'!H11</f>
        <v>48</v>
      </c>
      <c r="J20" s="99">
        <f>'D&amp;A Schedule'!I11</f>
        <v>0</v>
      </c>
      <c r="K20" s="99">
        <f>'D&amp;A Schedule'!J11</f>
        <v>0</v>
      </c>
      <c r="L20" s="99">
        <f>'D&amp;A Schedule'!K11</f>
        <v>0</v>
      </c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55"/>
      <c r="BL20" s="55"/>
      <c r="BM20" s="55"/>
      <c r="BN20" s="55"/>
      <c r="BO20" s="55"/>
      <c r="BP20" s="55"/>
      <c r="BQ20" s="55"/>
      <c r="BR20" s="55"/>
      <c r="BS20" s="55"/>
      <c r="BT20" s="55"/>
      <c r="BU20" s="55"/>
      <c r="BV20" s="55"/>
      <c r="BW20" s="55"/>
      <c r="BX20" s="55"/>
      <c r="BY20" s="55"/>
      <c r="BZ20" s="55"/>
      <c r="CA20" s="55"/>
      <c r="CB20" s="55"/>
      <c r="CC20" s="55"/>
      <c r="CD20" s="55"/>
      <c r="CE20" s="55"/>
      <c r="CF20" s="55"/>
      <c r="CG20" s="55"/>
      <c r="CH20" s="55"/>
      <c r="CI20" s="55"/>
      <c r="CJ20" s="55"/>
      <c r="CK20" s="55"/>
      <c r="CL20" s="55"/>
      <c r="CM20" s="55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5"/>
      <c r="CY20" s="55"/>
      <c r="CZ20" s="55"/>
      <c r="DA20" s="55"/>
      <c r="DB20" s="55"/>
      <c r="DC20" s="55"/>
      <c r="DD20" s="55"/>
      <c r="DE20" s="55"/>
      <c r="DF20" s="55"/>
      <c r="DG20" s="55"/>
      <c r="DH20" s="55"/>
      <c r="DI20" s="55"/>
      <c r="DJ20" s="55"/>
      <c r="DK20" s="55"/>
      <c r="DL20" s="55"/>
      <c r="DM20" s="55"/>
      <c r="DN20" s="55"/>
      <c r="DO20" s="55"/>
      <c r="DP20" s="55"/>
      <c r="DQ20" s="55"/>
      <c r="DR20" s="55"/>
      <c r="DS20" s="55"/>
      <c r="DT20" s="55"/>
      <c r="DU20" s="55"/>
      <c r="DV20" s="55"/>
      <c r="DW20" s="55"/>
      <c r="DX20" s="55"/>
      <c r="DY20" s="55"/>
      <c r="DZ20" s="55"/>
      <c r="EA20" s="55"/>
      <c r="EB20" s="55"/>
      <c r="EC20" s="55"/>
      <c r="ED20" s="55"/>
      <c r="EE20" s="55"/>
      <c r="EF20" s="55"/>
      <c r="EG20" s="55"/>
      <c r="EH20" s="55"/>
      <c r="EI20" s="55"/>
      <c r="EJ20" s="55"/>
      <c r="EK20" s="55"/>
      <c r="EL20" s="55"/>
      <c r="EM20" s="55"/>
      <c r="EN20" s="55"/>
      <c r="EO20" s="55"/>
      <c r="EP20" s="55"/>
      <c r="EQ20" s="55"/>
      <c r="ER20" s="55"/>
      <c r="ES20" s="55"/>
      <c r="ET20" s="55"/>
      <c r="EU20" s="55"/>
      <c r="EV20" s="55"/>
      <c r="EW20" s="55"/>
      <c r="EX20" s="55"/>
      <c r="EY20" s="55"/>
      <c r="EZ20" s="55"/>
      <c r="FA20" s="55"/>
      <c r="FB20" s="55"/>
      <c r="FC20" s="55"/>
      <c r="FD20" s="55"/>
      <c r="FE20" s="55"/>
      <c r="FF20" s="55"/>
      <c r="FG20" s="55"/>
      <c r="FH20" s="55"/>
      <c r="FI20" s="55"/>
      <c r="FJ20" s="55"/>
      <c r="FK20" s="55"/>
      <c r="FL20" s="55"/>
      <c r="FM20" s="55"/>
      <c r="FN20" s="55"/>
      <c r="FO20" s="55"/>
      <c r="FP20" s="55"/>
      <c r="FQ20" s="55"/>
      <c r="FR20" s="55"/>
      <c r="FS20" s="55"/>
      <c r="FT20" s="55"/>
      <c r="FU20" s="55"/>
      <c r="FV20" s="55"/>
      <c r="FW20" s="55"/>
      <c r="FX20" s="55"/>
      <c r="FY20" s="55"/>
      <c r="FZ20" s="55"/>
      <c r="GA20" s="55"/>
      <c r="GB20" s="55"/>
      <c r="GC20" s="55"/>
      <c r="GD20" s="55"/>
      <c r="GE20" s="55"/>
      <c r="GF20" s="55"/>
      <c r="GG20" s="55"/>
      <c r="GH20" s="55"/>
      <c r="GI20" s="55"/>
      <c r="GJ20" s="55"/>
      <c r="GK20" s="55"/>
      <c r="GL20" s="55"/>
      <c r="GM20" s="55"/>
      <c r="GN20" s="55"/>
      <c r="GO20" s="55"/>
      <c r="GP20" s="55"/>
      <c r="GQ20" s="55"/>
      <c r="GR20" s="55"/>
      <c r="GS20" s="55"/>
      <c r="GT20" s="55"/>
      <c r="GU20" s="55"/>
      <c r="GV20" s="55"/>
      <c r="GW20" s="55"/>
      <c r="GX20" s="55"/>
      <c r="GY20" s="55"/>
      <c r="GZ20" s="55"/>
      <c r="HA20" s="55"/>
      <c r="HB20" s="55"/>
      <c r="HC20" s="55"/>
      <c r="HD20" s="55"/>
      <c r="HE20" s="55"/>
      <c r="HF20" s="55"/>
      <c r="HG20" s="55"/>
      <c r="HH20" s="55"/>
      <c r="HI20" s="55"/>
      <c r="HJ20" s="55"/>
      <c r="HK20" s="55"/>
      <c r="HL20" s="55"/>
      <c r="HM20" s="55"/>
      <c r="HN20" s="55"/>
    </row>
    <row r="21" spans="1:222">
      <c r="A21" s="55"/>
      <c r="B21" s="56"/>
      <c r="C21" s="176" t="s">
        <v>128</v>
      </c>
      <c r="D21" s="56"/>
      <c r="E21" s="56"/>
      <c r="F21" s="163">
        <v>3265</v>
      </c>
      <c r="G21" s="163">
        <v>3312</v>
      </c>
      <c r="H21" s="228">
        <f>(G21/IS!G8)*IS!H8</f>
        <v>3426.1893252429763</v>
      </c>
      <c r="I21" s="228">
        <f>(H21/IS!H8)*IS!I8</f>
        <v>3563.2943220146144</v>
      </c>
      <c r="J21" s="228">
        <f>(I21/IS!I8)*IS!J8</f>
        <v>3726.0055870552528</v>
      </c>
      <c r="K21" s="228">
        <f>(J21/IS!J8)*IS!K8</f>
        <v>3918.1863965830139</v>
      </c>
      <c r="L21" s="228">
        <f>(K21/IS!K8)*IS!L8</f>
        <v>4120.2316229728831</v>
      </c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55"/>
      <c r="CA21" s="55"/>
      <c r="CB21" s="55"/>
      <c r="CC21" s="55"/>
      <c r="CD21" s="55"/>
      <c r="CE21" s="55"/>
      <c r="CF21" s="55"/>
      <c r="CG21" s="55"/>
      <c r="CH21" s="55"/>
      <c r="CI21" s="55"/>
      <c r="CJ21" s="55"/>
      <c r="CK21" s="55"/>
      <c r="CL21" s="55"/>
      <c r="CM21" s="55"/>
      <c r="CN21" s="55"/>
      <c r="CO21" s="55"/>
      <c r="CP21" s="55"/>
      <c r="CQ21" s="55"/>
      <c r="CR21" s="55"/>
      <c r="CS21" s="55"/>
      <c r="CT21" s="55"/>
      <c r="CU21" s="55"/>
      <c r="CV21" s="55"/>
      <c r="CW21" s="55"/>
      <c r="CX21" s="55"/>
      <c r="CY21" s="55"/>
      <c r="CZ21" s="55"/>
      <c r="DA21" s="55"/>
      <c r="DB21" s="55"/>
      <c r="DC21" s="55"/>
      <c r="DD21" s="55"/>
      <c r="DE21" s="55"/>
      <c r="DF21" s="55"/>
      <c r="DG21" s="55"/>
      <c r="DH21" s="55"/>
      <c r="DI21" s="55"/>
      <c r="DJ21" s="55"/>
      <c r="DK21" s="55"/>
      <c r="DL21" s="55"/>
      <c r="DM21" s="55"/>
      <c r="DN21" s="55"/>
      <c r="DO21" s="55"/>
      <c r="DP21" s="55"/>
      <c r="DQ21" s="55"/>
      <c r="DR21" s="55"/>
      <c r="DS21" s="55"/>
      <c r="DT21" s="55"/>
      <c r="DU21" s="55"/>
      <c r="DV21" s="55"/>
      <c r="DW21" s="55"/>
      <c r="DX21" s="55"/>
      <c r="DY21" s="55"/>
      <c r="DZ21" s="55"/>
      <c r="EA21" s="55"/>
      <c r="EB21" s="55"/>
      <c r="EC21" s="55"/>
      <c r="ED21" s="55"/>
      <c r="EE21" s="55"/>
      <c r="EF21" s="55"/>
      <c r="EG21" s="55"/>
      <c r="EH21" s="55"/>
      <c r="EI21" s="55"/>
      <c r="EJ21" s="55"/>
      <c r="EK21" s="55"/>
      <c r="EL21" s="55"/>
      <c r="EM21" s="55"/>
      <c r="EN21" s="55"/>
      <c r="EO21" s="55"/>
      <c r="EP21" s="55"/>
      <c r="EQ21" s="55"/>
      <c r="ER21" s="55"/>
      <c r="ES21" s="55"/>
      <c r="ET21" s="55"/>
      <c r="EU21" s="55"/>
      <c r="EV21" s="55"/>
      <c r="EW21" s="55"/>
      <c r="EX21" s="55"/>
      <c r="EY21" s="55"/>
      <c r="EZ21" s="55"/>
      <c r="FA21" s="55"/>
      <c r="FB21" s="55"/>
      <c r="FC21" s="55"/>
      <c r="FD21" s="55"/>
      <c r="FE21" s="55"/>
      <c r="FF21" s="55"/>
      <c r="FG21" s="55"/>
      <c r="FH21" s="55"/>
      <c r="FI21" s="55"/>
      <c r="FJ21" s="55"/>
      <c r="FK21" s="55"/>
      <c r="FL21" s="55"/>
      <c r="FM21" s="55"/>
      <c r="FN21" s="55"/>
      <c r="FO21" s="55"/>
      <c r="FP21" s="55"/>
      <c r="FQ21" s="55"/>
      <c r="FR21" s="55"/>
      <c r="FS21" s="55"/>
      <c r="FT21" s="55"/>
      <c r="FU21" s="55"/>
      <c r="FV21" s="55"/>
      <c r="FW21" s="55"/>
      <c r="FX21" s="55"/>
      <c r="FY21" s="55"/>
      <c r="FZ21" s="55"/>
      <c r="GA21" s="55"/>
      <c r="GB21" s="55"/>
      <c r="GC21" s="55"/>
      <c r="GD21" s="55"/>
      <c r="GE21" s="55"/>
      <c r="GF21" s="55"/>
      <c r="GG21" s="55"/>
      <c r="GH21" s="55"/>
      <c r="GI21" s="55"/>
      <c r="GJ21" s="55"/>
      <c r="GK21" s="55"/>
      <c r="GL21" s="55"/>
      <c r="GM21" s="55"/>
      <c r="GN21" s="55"/>
      <c r="GO21" s="55"/>
      <c r="GP21" s="55"/>
      <c r="GQ21" s="55"/>
      <c r="GR21" s="55"/>
      <c r="GS21" s="55"/>
      <c r="GT21" s="55"/>
      <c r="GU21" s="55"/>
      <c r="GV21" s="55"/>
      <c r="GW21" s="55"/>
      <c r="GX21" s="55"/>
      <c r="GY21" s="55"/>
      <c r="GZ21" s="55"/>
      <c r="HA21" s="55"/>
      <c r="HB21" s="55"/>
      <c r="HC21" s="55"/>
      <c r="HD21" s="55"/>
      <c r="HE21" s="55"/>
      <c r="HF21" s="55"/>
      <c r="HG21" s="55"/>
      <c r="HH21" s="55"/>
      <c r="HI21" s="55"/>
      <c r="HJ21" s="55"/>
      <c r="HK21" s="55"/>
      <c r="HL21" s="55"/>
      <c r="HM21" s="55"/>
      <c r="HN21" s="55"/>
    </row>
    <row r="22" spans="1:222">
      <c r="A22" s="55"/>
      <c r="B22" s="56"/>
      <c r="C22" s="229" t="s">
        <v>113</v>
      </c>
      <c r="D22" s="56"/>
      <c r="E22" s="56"/>
      <c r="F22" s="918">
        <f>SUM(F17:F21)</f>
        <v>20519</v>
      </c>
      <c r="G22" s="918">
        <f>SUM(G17:G21)</f>
        <v>20414</v>
      </c>
      <c r="H22" s="918">
        <f>SUM(H17:H21)</f>
        <v>20479.700577102627</v>
      </c>
      <c r="I22" s="918">
        <f t="shared" ref="I22:L22" si="3">SUM(I17:I21)</f>
        <v>20593.450105710395</v>
      </c>
      <c r="J22" s="918">
        <f t="shared" si="3"/>
        <v>20735.135853733831</v>
      </c>
      <c r="K22" s="918">
        <f t="shared" si="3"/>
        <v>20941.554825296524</v>
      </c>
      <c r="L22" s="918">
        <f t="shared" si="3"/>
        <v>21143.716296773313</v>
      </c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5"/>
      <c r="DA22" s="55"/>
      <c r="DB22" s="55"/>
      <c r="DC22" s="55"/>
      <c r="DD22" s="55"/>
      <c r="DE22" s="55"/>
      <c r="DF22" s="55"/>
      <c r="DG22" s="55"/>
      <c r="DH22" s="55"/>
      <c r="DI22" s="55"/>
      <c r="DJ22" s="55"/>
      <c r="DK22" s="55"/>
      <c r="DL22" s="55"/>
      <c r="DM22" s="55"/>
      <c r="DN22" s="55"/>
      <c r="DO22" s="55"/>
      <c r="DP22" s="55"/>
      <c r="DQ22" s="55"/>
      <c r="DR22" s="55"/>
      <c r="DS22" s="55"/>
      <c r="DT22" s="55"/>
      <c r="DU22" s="55"/>
      <c r="DV22" s="55"/>
      <c r="DW22" s="55"/>
      <c r="DX22" s="55"/>
      <c r="DY22" s="55"/>
      <c r="DZ22" s="55"/>
      <c r="EA22" s="55"/>
      <c r="EB22" s="55"/>
      <c r="EC22" s="55"/>
      <c r="ED22" s="55"/>
      <c r="EE22" s="55"/>
      <c r="EF22" s="55"/>
      <c r="EG22" s="55"/>
      <c r="EH22" s="55"/>
      <c r="EI22" s="55"/>
      <c r="EJ22" s="55"/>
      <c r="EK22" s="55"/>
      <c r="EL22" s="55"/>
      <c r="EM22" s="55"/>
      <c r="EN22" s="55"/>
      <c r="EO22" s="55"/>
      <c r="EP22" s="55"/>
      <c r="EQ22" s="55"/>
      <c r="ER22" s="55"/>
      <c r="ES22" s="55"/>
      <c r="ET22" s="55"/>
      <c r="EU22" s="55"/>
      <c r="EV22" s="55"/>
      <c r="EW22" s="55"/>
      <c r="EX22" s="55"/>
      <c r="EY22" s="55"/>
      <c r="EZ22" s="55"/>
      <c r="FA22" s="55"/>
      <c r="FB22" s="55"/>
      <c r="FC22" s="55"/>
      <c r="FD22" s="55"/>
      <c r="FE22" s="55"/>
      <c r="FF22" s="55"/>
      <c r="FG22" s="55"/>
      <c r="FH22" s="55"/>
      <c r="FI22" s="55"/>
      <c r="FJ22" s="55"/>
      <c r="FK22" s="55"/>
      <c r="FL22" s="55"/>
      <c r="FM22" s="55"/>
      <c r="FN22" s="55"/>
      <c r="FO22" s="55"/>
      <c r="FP22" s="55"/>
      <c r="FQ22" s="55"/>
      <c r="FR22" s="55"/>
      <c r="FS22" s="55"/>
      <c r="FT22" s="55"/>
      <c r="FU22" s="55"/>
      <c r="FV22" s="55"/>
      <c r="FW22" s="55"/>
      <c r="FX22" s="55"/>
      <c r="FY22" s="55"/>
      <c r="FZ22" s="55"/>
      <c r="GA22" s="55"/>
      <c r="GB22" s="55"/>
      <c r="GC22" s="55"/>
      <c r="GD22" s="55"/>
      <c r="GE22" s="55"/>
      <c r="GF22" s="55"/>
      <c r="GG22" s="55"/>
      <c r="GH22" s="55"/>
      <c r="GI22" s="55"/>
      <c r="GJ22" s="55"/>
      <c r="GK22" s="55"/>
      <c r="GL22" s="55"/>
      <c r="GM22" s="55"/>
      <c r="GN22" s="55"/>
      <c r="GO22" s="55"/>
      <c r="GP22" s="55"/>
      <c r="GQ22" s="55"/>
      <c r="GR22" s="55"/>
      <c r="GS22" s="55"/>
      <c r="GT22" s="55"/>
      <c r="GU22" s="55"/>
      <c r="GV22" s="55"/>
      <c r="GW22" s="55"/>
      <c r="GX22" s="55"/>
      <c r="GY22" s="55"/>
      <c r="GZ22" s="55"/>
      <c r="HA22" s="55"/>
      <c r="HB22" s="55"/>
      <c r="HC22" s="55"/>
      <c r="HD22" s="55"/>
      <c r="HE22" s="55"/>
      <c r="HF22" s="55"/>
      <c r="HG22" s="55"/>
      <c r="HH22" s="55"/>
      <c r="HI22" s="55"/>
      <c r="HJ22" s="55"/>
      <c r="HK22" s="55"/>
      <c r="HL22" s="55"/>
      <c r="HM22" s="55"/>
      <c r="HN22" s="55"/>
    </row>
    <row r="23" spans="1:222">
      <c r="A23" s="55"/>
      <c r="B23" s="56"/>
      <c r="C23" s="77"/>
      <c r="D23" s="56"/>
      <c r="E23" s="56"/>
      <c r="F23" s="30"/>
      <c r="G23" s="30"/>
      <c r="H23" s="96"/>
      <c r="I23" s="96"/>
      <c r="J23" s="96"/>
      <c r="K23" s="96"/>
      <c r="L23" s="96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/>
      <c r="BW23" s="55"/>
      <c r="BX23" s="55"/>
      <c r="BY23" s="55"/>
      <c r="BZ23" s="55"/>
      <c r="CA23" s="55"/>
      <c r="CB23" s="55"/>
      <c r="CC23" s="55"/>
      <c r="CD23" s="55"/>
      <c r="CE23" s="55"/>
      <c r="CF23" s="55"/>
      <c r="CG23" s="55"/>
      <c r="CH23" s="55"/>
      <c r="CI23" s="55"/>
      <c r="CJ23" s="55"/>
      <c r="CK23" s="55"/>
      <c r="CL23" s="55"/>
      <c r="CM23" s="55"/>
      <c r="CN23" s="55"/>
      <c r="CO23" s="55"/>
      <c r="CP23" s="55"/>
      <c r="CQ23" s="55"/>
      <c r="CR23" s="55"/>
      <c r="CS23" s="55"/>
      <c r="CT23" s="55"/>
      <c r="CU23" s="55"/>
      <c r="CV23" s="55"/>
      <c r="CW23" s="55"/>
      <c r="CX23" s="55"/>
      <c r="CY23" s="55"/>
      <c r="CZ23" s="55"/>
      <c r="DA23" s="55"/>
      <c r="DB23" s="55"/>
      <c r="DC23" s="55"/>
      <c r="DD23" s="55"/>
      <c r="DE23" s="55"/>
      <c r="DF23" s="55"/>
      <c r="DG23" s="55"/>
      <c r="DH23" s="55"/>
      <c r="DI23" s="55"/>
      <c r="DJ23" s="55"/>
      <c r="DK23" s="55"/>
      <c r="DL23" s="55"/>
      <c r="DM23" s="55"/>
      <c r="DN23" s="55"/>
      <c r="DO23" s="55"/>
      <c r="DP23" s="55"/>
      <c r="DQ23" s="55"/>
      <c r="DR23" s="55"/>
      <c r="DS23" s="55"/>
      <c r="DT23" s="55"/>
      <c r="DU23" s="55"/>
      <c r="DV23" s="55"/>
      <c r="DW23" s="55"/>
      <c r="DX23" s="55"/>
      <c r="DY23" s="55"/>
      <c r="DZ23" s="55"/>
      <c r="EA23" s="55"/>
      <c r="EB23" s="55"/>
      <c r="EC23" s="55"/>
      <c r="ED23" s="55"/>
      <c r="EE23" s="55"/>
      <c r="EF23" s="55"/>
      <c r="EG23" s="55"/>
      <c r="EH23" s="55"/>
      <c r="EI23" s="55"/>
      <c r="EJ23" s="55"/>
      <c r="EK23" s="55"/>
      <c r="EL23" s="55"/>
      <c r="EM23" s="55"/>
      <c r="EN23" s="55"/>
      <c r="EO23" s="55"/>
      <c r="EP23" s="55"/>
      <c r="EQ23" s="55"/>
      <c r="ER23" s="55"/>
      <c r="ES23" s="55"/>
      <c r="ET23" s="55"/>
      <c r="EU23" s="55"/>
      <c r="EV23" s="55"/>
      <c r="EW23" s="55"/>
      <c r="EX23" s="55"/>
      <c r="EY23" s="55"/>
      <c r="EZ23" s="55"/>
      <c r="FA23" s="55"/>
      <c r="FB23" s="55"/>
      <c r="FC23" s="55"/>
      <c r="FD23" s="55"/>
      <c r="FE23" s="55"/>
      <c r="FF23" s="55"/>
      <c r="FG23" s="55"/>
      <c r="FH23" s="55"/>
      <c r="FI23" s="55"/>
      <c r="FJ23" s="55"/>
      <c r="FK23" s="55"/>
      <c r="FL23" s="55"/>
      <c r="FM23" s="55"/>
      <c r="FN23" s="55"/>
      <c r="FO23" s="55"/>
      <c r="FP23" s="55"/>
      <c r="FQ23" s="55"/>
      <c r="FR23" s="55"/>
      <c r="FS23" s="55"/>
      <c r="FT23" s="55"/>
      <c r="FU23" s="55"/>
      <c r="FV23" s="55"/>
      <c r="FW23" s="55"/>
      <c r="FX23" s="55"/>
      <c r="FY23" s="55"/>
      <c r="FZ23" s="55"/>
      <c r="GA23" s="55"/>
      <c r="GB23" s="55"/>
      <c r="GC23" s="55"/>
      <c r="GD23" s="55"/>
      <c r="GE23" s="55"/>
      <c r="GF23" s="55"/>
      <c r="GG23" s="55"/>
      <c r="GH23" s="55"/>
      <c r="GI23" s="55"/>
      <c r="GJ23" s="55"/>
      <c r="GK23" s="55"/>
      <c r="GL23" s="55"/>
      <c r="GM23" s="55"/>
      <c r="GN23" s="55"/>
      <c r="GO23" s="55"/>
      <c r="GP23" s="55"/>
      <c r="GQ23" s="55"/>
      <c r="GR23" s="55"/>
      <c r="GS23" s="55"/>
      <c r="GT23" s="55"/>
      <c r="GU23" s="55"/>
      <c r="GV23" s="55"/>
      <c r="GW23" s="55"/>
      <c r="GX23" s="55"/>
      <c r="GY23" s="55"/>
      <c r="GZ23" s="55"/>
      <c r="HA23" s="55"/>
      <c r="HB23" s="55"/>
      <c r="HC23" s="55"/>
      <c r="HD23" s="55"/>
      <c r="HE23" s="55"/>
      <c r="HF23" s="55"/>
      <c r="HG23" s="55"/>
      <c r="HH23" s="55"/>
      <c r="HI23" s="55"/>
      <c r="HJ23" s="55"/>
      <c r="HK23" s="55"/>
      <c r="HL23" s="55"/>
      <c r="HM23" s="55"/>
      <c r="HN23" s="55"/>
    </row>
    <row r="24" spans="1:222" ht="14.4" thickBot="1">
      <c r="A24" s="55"/>
      <c r="B24" s="56"/>
      <c r="C24" s="121" t="s">
        <v>69</v>
      </c>
      <c r="D24" s="56"/>
      <c r="E24" s="56"/>
      <c r="F24" s="919">
        <f t="shared" ref="F24:L24" si="4">+F15+F22</f>
        <v>78725</v>
      </c>
      <c r="G24" s="919">
        <f t="shared" si="4"/>
        <v>80173</v>
      </c>
      <c r="H24" s="919">
        <f t="shared" si="4"/>
        <v>81588.73380891222</v>
      </c>
      <c r="I24" s="919">
        <f t="shared" si="4"/>
        <v>83660.237099047503</v>
      </c>
      <c r="J24" s="919">
        <f t="shared" si="4"/>
        <v>86160.590149932905</v>
      </c>
      <c r="K24" s="919">
        <f t="shared" si="4"/>
        <v>89061.525015882726</v>
      </c>
      <c r="L24" s="919">
        <f t="shared" si="4"/>
        <v>92970.24178597737</v>
      </c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5"/>
      <c r="BQ24" s="55"/>
      <c r="BR24" s="55"/>
      <c r="BS24" s="55"/>
      <c r="BT24" s="55"/>
      <c r="BU24" s="55"/>
      <c r="BV24" s="55"/>
      <c r="BW24" s="55"/>
      <c r="BX24" s="55"/>
      <c r="BY24" s="55"/>
      <c r="BZ24" s="55"/>
      <c r="CA24" s="55"/>
      <c r="CB24" s="55"/>
      <c r="CC24" s="55"/>
      <c r="CD24" s="55"/>
      <c r="CE24" s="55"/>
      <c r="CF24" s="55"/>
      <c r="CG24" s="55"/>
      <c r="CH24" s="55"/>
      <c r="CI24" s="55"/>
      <c r="CJ24" s="55"/>
      <c r="CK24" s="55"/>
      <c r="CL24" s="55"/>
      <c r="CM24" s="55"/>
      <c r="CN24" s="55"/>
      <c r="CO24" s="55"/>
      <c r="CP24" s="55"/>
      <c r="CQ24" s="55"/>
      <c r="CR24" s="55"/>
      <c r="CS24" s="55"/>
      <c r="CT24" s="55"/>
      <c r="CU24" s="55"/>
      <c r="CV24" s="55"/>
      <c r="CW24" s="55"/>
      <c r="CX24" s="55"/>
      <c r="CY24" s="55"/>
      <c r="CZ24" s="55"/>
      <c r="DA24" s="55"/>
      <c r="DB24" s="55"/>
      <c r="DC24" s="55"/>
      <c r="DD24" s="55"/>
      <c r="DE24" s="55"/>
      <c r="DF24" s="55"/>
      <c r="DG24" s="55"/>
      <c r="DH24" s="55"/>
      <c r="DI24" s="55"/>
      <c r="DJ24" s="55"/>
      <c r="DK24" s="55"/>
      <c r="DL24" s="55"/>
      <c r="DM24" s="55"/>
      <c r="DN24" s="55"/>
      <c r="DO24" s="55"/>
      <c r="DP24" s="55"/>
      <c r="DQ24" s="55"/>
      <c r="DR24" s="55"/>
      <c r="DS24" s="55"/>
      <c r="DT24" s="55"/>
      <c r="DU24" s="55"/>
      <c r="DV24" s="55"/>
      <c r="DW24" s="55"/>
      <c r="DX24" s="55"/>
      <c r="DY24" s="55"/>
      <c r="DZ24" s="55"/>
      <c r="EA24" s="55"/>
      <c r="EB24" s="55"/>
      <c r="EC24" s="55"/>
      <c r="ED24" s="55"/>
      <c r="EE24" s="55"/>
      <c r="EF24" s="55"/>
      <c r="EG24" s="55"/>
      <c r="EH24" s="55"/>
      <c r="EI24" s="55"/>
      <c r="EJ24" s="55"/>
      <c r="EK24" s="55"/>
      <c r="EL24" s="55"/>
      <c r="EM24" s="55"/>
      <c r="EN24" s="55"/>
      <c r="EO24" s="55"/>
      <c r="EP24" s="55"/>
      <c r="EQ24" s="55"/>
      <c r="ER24" s="55"/>
      <c r="ES24" s="55"/>
      <c r="ET24" s="55"/>
      <c r="EU24" s="55"/>
      <c r="EV24" s="55"/>
      <c r="EW24" s="55"/>
      <c r="EX24" s="55"/>
      <c r="EY24" s="55"/>
      <c r="EZ24" s="55"/>
      <c r="FA24" s="55"/>
      <c r="FB24" s="55"/>
      <c r="FC24" s="55"/>
      <c r="FD24" s="55"/>
      <c r="FE24" s="55"/>
      <c r="FF24" s="55"/>
      <c r="FG24" s="55"/>
      <c r="FH24" s="55"/>
      <c r="FI24" s="55"/>
      <c r="FJ24" s="55"/>
      <c r="FK24" s="55"/>
      <c r="FL24" s="55"/>
      <c r="FM24" s="55"/>
      <c r="FN24" s="55"/>
      <c r="FO24" s="55"/>
      <c r="FP24" s="55"/>
      <c r="FQ24" s="55"/>
      <c r="FR24" s="55"/>
      <c r="FS24" s="55"/>
      <c r="FT24" s="55"/>
      <c r="FU24" s="55"/>
      <c r="FV24" s="55"/>
      <c r="FW24" s="55"/>
      <c r="FX24" s="55"/>
      <c r="FY24" s="55"/>
      <c r="FZ24" s="55"/>
      <c r="GA24" s="55"/>
      <c r="GB24" s="55"/>
      <c r="GC24" s="55"/>
      <c r="GD24" s="55"/>
      <c r="GE24" s="55"/>
      <c r="GF24" s="55"/>
      <c r="GG24" s="55"/>
      <c r="GH24" s="55"/>
      <c r="GI24" s="55"/>
      <c r="GJ24" s="55"/>
      <c r="GK24" s="55"/>
      <c r="GL24" s="55"/>
      <c r="GM24" s="55"/>
      <c r="GN24" s="55"/>
      <c r="GO24" s="55"/>
      <c r="GP24" s="55"/>
      <c r="GQ24" s="55"/>
      <c r="GR24" s="55"/>
      <c r="GS24" s="55"/>
      <c r="GT24" s="55"/>
      <c r="GU24" s="55"/>
      <c r="GV24" s="55"/>
      <c r="GW24" s="55"/>
      <c r="GX24" s="55"/>
      <c r="GY24" s="55"/>
      <c r="GZ24" s="55"/>
      <c r="HA24" s="55"/>
      <c r="HB24" s="55"/>
      <c r="HC24" s="55"/>
      <c r="HD24" s="55"/>
      <c r="HE24" s="55"/>
      <c r="HF24" s="55"/>
      <c r="HG24" s="55"/>
      <c r="HH24" s="55"/>
      <c r="HI24" s="55"/>
      <c r="HJ24" s="55"/>
      <c r="HK24" s="55"/>
      <c r="HL24" s="55"/>
      <c r="HM24" s="55"/>
      <c r="HN24" s="55"/>
    </row>
    <row r="25" spans="1:222" ht="14.4" thickTop="1">
      <c r="A25" s="55"/>
      <c r="B25" s="56"/>
      <c r="C25" s="56"/>
      <c r="D25" s="56"/>
      <c r="E25" s="56"/>
      <c r="F25" s="97"/>
      <c r="G25" s="98"/>
      <c r="H25" s="98"/>
      <c r="I25" s="98"/>
      <c r="J25" s="98"/>
      <c r="K25" s="98"/>
      <c r="L25" s="98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5"/>
      <c r="BP25" s="55"/>
      <c r="BQ25" s="55"/>
      <c r="BR25" s="55"/>
      <c r="BS25" s="55"/>
      <c r="BT25" s="55"/>
      <c r="BU25" s="55"/>
      <c r="BV25" s="55"/>
      <c r="BW25" s="55"/>
      <c r="BX25" s="55"/>
      <c r="BY25" s="55"/>
      <c r="BZ25" s="55"/>
      <c r="CA25" s="55"/>
      <c r="CB25" s="55"/>
      <c r="CC25" s="55"/>
      <c r="CD25" s="55"/>
      <c r="CE25" s="55"/>
      <c r="CF25" s="55"/>
      <c r="CG25" s="55"/>
      <c r="CH25" s="55"/>
      <c r="CI25" s="55"/>
      <c r="CJ25" s="55"/>
      <c r="CK25" s="55"/>
      <c r="CL25" s="55"/>
      <c r="CM25" s="55"/>
      <c r="CN25" s="55"/>
      <c r="CO25" s="55"/>
      <c r="CP25" s="55"/>
      <c r="CQ25" s="55"/>
      <c r="CR25" s="55"/>
      <c r="CS25" s="55"/>
      <c r="CT25" s="55"/>
      <c r="CU25" s="55"/>
      <c r="CV25" s="55"/>
      <c r="CW25" s="55"/>
      <c r="CX25" s="55"/>
      <c r="CY25" s="55"/>
      <c r="CZ25" s="55"/>
      <c r="DA25" s="55"/>
      <c r="DB25" s="55"/>
      <c r="DC25" s="55"/>
      <c r="DD25" s="55"/>
      <c r="DE25" s="55"/>
      <c r="DF25" s="55"/>
      <c r="DG25" s="55"/>
      <c r="DH25" s="55"/>
      <c r="DI25" s="55"/>
      <c r="DJ25" s="55"/>
      <c r="DK25" s="55"/>
      <c r="DL25" s="55"/>
      <c r="DM25" s="55"/>
      <c r="DN25" s="55"/>
      <c r="DO25" s="55"/>
      <c r="DP25" s="55"/>
      <c r="DQ25" s="55"/>
      <c r="DR25" s="55"/>
      <c r="DS25" s="55"/>
      <c r="DT25" s="55"/>
      <c r="DU25" s="55"/>
      <c r="DV25" s="55"/>
      <c r="DW25" s="55"/>
      <c r="DX25" s="55"/>
      <c r="DY25" s="55"/>
      <c r="DZ25" s="55"/>
      <c r="EA25" s="55"/>
      <c r="EB25" s="55"/>
      <c r="EC25" s="55"/>
      <c r="ED25" s="55"/>
      <c r="EE25" s="55"/>
      <c r="EF25" s="55"/>
      <c r="EG25" s="55"/>
      <c r="EH25" s="55"/>
      <c r="EI25" s="55"/>
      <c r="EJ25" s="55"/>
      <c r="EK25" s="55"/>
      <c r="EL25" s="55"/>
      <c r="EM25" s="55"/>
      <c r="EN25" s="55"/>
      <c r="EO25" s="55"/>
      <c r="EP25" s="55"/>
      <c r="EQ25" s="55"/>
      <c r="ER25" s="55"/>
      <c r="ES25" s="55"/>
      <c r="ET25" s="55"/>
      <c r="EU25" s="55"/>
      <c r="EV25" s="55"/>
      <c r="EW25" s="55"/>
      <c r="EX25" s="55"/>
      <c r="EY25" s="55"/>
      <c r="EZ25" s="55"/>
      <c r="FA25" s="55"/>
      <c r="FB25" s="55"/>
      <c r="FC25" s="55"/>
      <c r="FD25" s="55"/>
      <c r="FE25" s="55"/>
      <c r="FF25" s="55"/>
      <c r="FG25" s="55"/>
      <c r="FH25" s="55"/>
      <c r="FI25" s="55"/>
      <c r="FJ25" s="55"/>
      <c r="FK25" s="55"/>
      <c r="FL25" s="55"/>
      <c r="FM25" s="55"/>
      <c r="FN25" s="55"/>
      <c r="FO25" s="55"/>
      <c r="FP25" s="55"/>
      <c r="FQ25" s="55"/>
      <c r="FR25" s="55"/>
      <c r="FS25" s="55"/>
      <c r="FT25" s="55"/>
      <c r="FU25" s="55"/>
      <c r="FV25" s="55"/>
      <c r="FW25" s="55"/>
      <c r="FX25" s="55"/>
      <c r="FY25" s="55"/>
      <c r="FZ25" s="55"/>
      <c r="GA25" s="55"/>
      <c r="GB25" s="55"/>
      <c r="GC25" s="55"/>
      <c r="GD25" s="55"/>
      <c r="GE25" s="55"/>
      <c r="GF25" s="55"/>
      <c r="GG25" s="55"/>
      <c r="GH25" s="55"/>
      <c r="GI25" s="55"/>
      <c r="GJ25" s="55"/>
      <c r="GK25" s="55"/>
      <c r="GL25" s="55"/>
      <c r="GM25" s="55"/>
      <c r="GN25" s="55"/>
      <c r="GO25" s="55"/>
      <c r="GP25" s="55"/>
      <c r="GQ25" s="55"/>
      <c r="GR25" s="55"/>
      <c r="GS25" s="55"/>
      <c r="GT25" s="55"/>
      <c r="GU25" s="55"/>
      <c r="GV25" s="55"/>
      <c r="GW25" s="55"/>
      <c r="GX25" s="55"/>
      <c r="GY25" s="55"/>
      <c r="GZ25" s="55"/>
      <c r="HA25" s="55"/>
      <c r="HB25" s="55"/>
      <c r="HC25" s="55"/>
      <c r="HD25" s="55"/>
      <c r="HE25" s="55"/>
      <c r="HF25" s="55"/>
      <c r="HG25" s="55"/>
      <c r="HH25" s="55"/>
      <c r="HI25" s="55"/>
      <c r="HJ25" s="55"/>
      <c r="HK25" s="55"/>
      <c r="HL25" s="55"/>
      <c r="HM25" s="55"/>
      <c r="HN25" s="55"/>
    </row>
    <row r="26" spans="1:222">
      <c r="A26" s="55"/>
      <c r="B26" s="56"/>
      <c r="C26" s="56"/>
      <c r="D26" s="56"/>
      <c r="E26" s="56"/>
      <c r="F26" s="97"/>
      <c r="G26" s="98"/>
      <c r="H26" s="98"/>
      <c r="I26" s="98"/>
      <c r="J26" s="98"/>
      <c r="K26" s="98"/>
      <c r="L26" s="98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5"/>
      <c r="BK26" s="55"/>
      <c r="BL26" s="55"/>
      <c r="BM26" s="55"/>
      <c r="BN26" s="55"/>
      <c r="BO26" s="55"/>
      <c r="BP26" s="55"/>
      <c r="BQ26" s="55"/>
      <c r="BR26" s="55"/>
      <c r="BS26" s="55"/>
      <c r="BT26" s="55"/>
      <c r="BU26" s="55"/>
      <c r="BV26" s="55"/>
      <c r="BW26" s="55"/>
      <c r="BX26" s="55"/>
      <c r="BY26" s="55"/>
      <c r="BZ26" s="55"/>
      <c r="CA26" s="55"/>
      <c r="CB26" s="55"/>
      <c r="CC26" s="55"/>
      <c r="CD26" s="55"/>
      <c r="CE26" s="55"/>
      <c r="CF26" s="55"/>
      <c r="CG26" s="55"/>
      <c r="CH26" s="55"/>
      <c r="CI26" s="55"/>
      <c r="CJ26" s="55"/>
      <c r="CK26" s="55"/>
      <c r="CL26" s="55"/>
      <c r="CM26" s="55"/>
      <c r="CN26" s="55"/>
      <c r="CO26" s="55"/>
      <c r="CP26" s="55"/>
      <c r="CQ26" s="55"/>
      <c r="CR26" s="55"/>
      <c r="CS26" s="55"/>
      <c r="CT26" s="55"/>
      <c r="CU26" s="55"/>
      <c r="CV26" s="55"/>
      <c r="CW26" s="55"/>
      <c r="CX26" s="55"/>
      <c r="CY26" s="55"/>
      <c r="CZ26" s="55"/>
      <c r="DA26" s="55"/>
      <c r="DB26" s="55"/>
      <c r="DC26" s="55"/>
      <c r="DD26" s="55"/>
      <c r="DE26" s="55"/>
      <c r="DF26" s="55"/>
      <c r="DG26" s="55"/>
      <c r="DH26" s="55"/>
      <c r="DI26" s="55"/>
      <c r="DJ26" s="55"/>
      <c r="DK26" s="55"/>
      <c r="DL26" s="55"/>
      <c r="DM26" s="55"/>
      <c r="DN26" s="55"/>
      <c r="DO26" s="55"/>
      <c r="DP26" s="55"/>
      <c r="DQ26" s="55"/>
      <c r="DR26" s="55"/>
      <c r="DS26" s="55"/>
      <c r="DT26" s="55"/>
      <c r="DU26" s="55"/>
      <c r="DV26" s="55"/>
      <c r="DW26" s="55"/>
      <c r="DX26" s="55"/>
      <c r="DY26" s="55"/>
      <c r="DZ26" s="55"/>
      <c r="EA26" s="55"/>
      <c r="EB26" s="55"/>
      <c r="EC26" s="55"/>
      <c r="ED26" s="55"/>
      <c r="EE26" s="55"/>
      <c r="EF26" s="55"/>
      <c r="EG26" s="55"/>
      <c r="EH26" s="55"/>
      <c r="EI26" s="55"/>
      <c r="EJ26" s="55"/>
      <c r="EK26" s="55"/>
      <c r="EL26" s="55"/>
      <c r="EM26" s="55"/>
      <c r="EN26" s="55"/>
      <c r="EO26" s="55"/>
      <c r="EP26" s="55"/>
      <c r="EQ26" s="55"/>
      <c r="ER26" s="55"/>
      <c r="ES26" s="55"/>
      <c r="ET26" s="55"/>
      <c r="EU26" s="55"/>
      <c r="EV26" s="55"/>
      <c r="EW26" s="55"/>
      <c r="EX26" s="55"/>
      <c r="EY26" s="55"/>
      <c r="EZ26" s="55"/>
      <c r="FA26" s="55"/>
      <c r="FB26" s="55"/>
      <c r="FC26" s="55"/>
      <c r="FD26" s="55"/>
      <c r="FE26" s="55"/>
      <c r="FF26" s="55"/>
      <c r="FG26" s="55"/>
      <c r="FH26" s="55"/>
      <c r="FI26" s="55"/>
      <c r="FJ26" s="55"/>
      <c r="FK26" s="55"/>
      <c r="FL26" s="55"/>
      <c r="FM26" s="55"/>
      <c r="FN26" s="55"/>
      <c r="FO26" s="55"/>
      <c r="FP26" s="55"/>
      <c r="FQ26" s="55"/>
      <c r="FR26" s="55"/>
      <c r="FS26" s="55"/>
      <c r="FT26" s="55"/>
      <c r="FU26" s="55"/>
      <c r="FV26" s="55"/>
      <c r="FW26" s="55"/>
      <c r="FX26" s="55"/>
      <c r="FY26" s="55"/>
      <c r="FZ26" s="55"/>
      <c r="GA26" s="55"/>
      <c r="GB26" s="55"/>
      <c r="GC26" s="55"/>
      <c r="GD26" s="55"/>
      <c r="GE26" s="55"/>
      <c r="GF26" s="55"/>
      <c r="GG26" s="55"/>
      <c r="GH26" s="55"/>
      <c r="GI26" s="55"/>
      <c r="GJ26" s="55"/>
      <c r="GK26" s="55"/>
      <c r="GL26" s="55"/>
      <c r="GM26" s="55"/>
      <c r="GN26" s="55"/>
      <c r="GO26" s="55"/>
      <c r="GP26" s="55"/>
      <c r="GQ26" s="55"/>
      <c r="GR26" s="55"/>
      <c r="GS26" s="55"/>
      <c r="GT26" s="55"/>
      <c r="GU26" s="55"/>
      <c r="GV26" s="55"/>
      <c r="GW26" s="55"/>
      <c r="GX26" s="55"/>
      <c r="GY26" s="55"/>
      <c r="GZ26" s="55"/>
      <c r="HA26" s="55"/>
      <c r="HB26" s="55"/>
      <c r="HC26" s="55"/>
      <c r="HD26" s="55"/>
      <c r="HE26" s="55"/>
      <c r="HF26" s="55"/>
      <c r="HG26" s="55"/>
      <c r="HH26" s="55"/>
      <c r="HI26" s="55"/>
      <c r="HJ26" s="55"/>
      <c r="HK26" s="55"/>
      <c r="HL26" s="55"/>
      <c r="HM26" s="55"/>
      <c r="HN26" s="55"/>
    </row>
    <row r="27" spans="1:222">
      <c r="A27" s="55"/>
      <c r="B27" s="227" t="s">
        <v>623</v>
      </c>
      <c r="C27" s="56"/>
      <c r="D27" s="56"/>
      <c r="E27" s="56"/>
      <c r="F27" s="97"/>
      <c r="G27" s="98"/>
      <c r="H27" s="100"/>
      <c r="I27" s="98"/>
      <c r="J27" s="98"/>
      <c r="K27" s="98"/>
      <c r="L27" s="98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5"/>
      <c r="BY27" s="55"/>
      <c r="BZ27" s="55"/>
      <c r="CA27" s="55"/>
      <c r="CB27" s="55"/>
      <c r="CC27" s="55"/>
      <c r="CD27" s="55"/>
      <c r="CE27" s="55"/>
      <c r="CF27" s="55"/>
      <c r="CG27" s="55"/>
      <c r="CH27" s="55"/>
      <c r="CI27" s="55"/>
      <c r="CJ27" s="55"/>
      <c r="CK27" s="55"/>
      <c r="CL27" s="55"/>
      <c r="CM27" s="55"/>
      <c r="CN27" s="55"/>
      <c r="CO27" s="55"/>
      <c r="CP27" s="55"/>
      <c r="CQ27" s="55"/>
      <c r="CR27" s="55"/>
      <c r="CS27" s="55"/>
      <c r="CT27" s="55"/>
      <c r="CU27" s="55"/>
      <c r="CV27" s="55"/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55"/>
      <c r="DH27" s="55"/>
      <c r="DI27" s="55"/>
      <c r="DJ27" s="55"/>
      <c r="DK27" s="55"/>
      <c r="DL27" s="55"/>
      <c r="DM27" s="55"/>
      <c r="DN27" s="55"/>
      <c r="DO27" s="55"/>
      <c r="DP27" s="55"/>
      <c r="DQ27" s="55"/>
      <c r="DR27" s="55"/>
      <c r="DS27" s="55"/>
      <c r="DT27" s="55"/>
      <c r="DU27" s="55"/>
      <c r="DV27" s="55"/>
      <c r="DW27" s="55"/>
      <c r="DX27" s="55"/>
      <c r="DY27" s="55"/>
      <c r="DZ27" s="55"/>
      <c r="EA27" s="55"/>
      <c r="EB27" s="55"/>
      <c r="EC27" s="55"/>
      <c r="ED27" s="55"/>
      <c r="EE27" s="55"/>
      <c r="EF27" s="55"/>
      <c r="EG27" s="55"/>
      <c r="EH27" s="55"/>
      <c r="EI27" s="55"/>
      <c r="EJ27" s="55"/>
      <c r="EK27" s="55"/>
      <c r="EL27" s="55"/>
      <c r="EM27" s="55"/>
      <c r="EN27" s="55"/>
      <c r="EO27" s="55"/>
      <c r="EP27" s="55"/>
      <c r="EQ27" s="55"/>
      <c r="ER27" s="55"/>
      <c r="ES27" s="55"/>
      <c r="ET27" s="55"/>
      <c r="EU27" s="55"/>
      <c r="EV27" s="55"/>
      <c r="EW27" s="55"/>
      <c r="EX27" s="55"/>
      <c r="EY27" s="55"/>
      <c r="EZ27" s="55"/>
      <c r="FA27" s="55"/>
      <c r="FB27" s="55"/>
      <c r="FC27" s="55"/>
      <c r="FD27" s="55"/>
      <c r="FE27" s="55"/>
      <c r="FF27" s="55"/>
      <c r="FG27" s="55"/>
      <c r="FH27" s="55"/>
      <c r="FI27" s="55"/>
      <c r="FJ27" s="55"/>
      <c r="FK27" s="55"/>
      <c r="FL27" s="55"/>
      <c r="FM27" s="55"/>
      <c r="FN27" s="55"/>
      <c r="FO27" s="55"/>
      <c r="FP27" s="55"/>
      <c r="FQ27" s="55"/>
      <c r="FR27" s="55"/>
      <c r="FS27" s="55"/>
      <c r="FT27" s="55"/>
      <c r="FU27" s="55"/>
      <c r="FV27" s="55"/>
      <c r="FW27" s="55"/>
      <c r="FX27" s="55"/>
      <c r="FY27" s="55"/>
      <c r="FZ27" s="55"/>
      <c r="GA27" s="55"/>
      <c r="GB27" s="55"/>
      <c r="GC27" s="55"/>
      <c r="GD27" s="55"/>
      <c r="GE27" s="55"/>
      <c r="GF27" s="55"/>
      <c r="GG27" s="55"/>
      <c r="GH27" s="55"/>
      <c r="GI27" s="55"/>
      <c r="GJ27" s="55"/>
      <c r="GK27" s="55"/>
      <c r="GL27" s="55"/>
      <c r="GM27" s="55"/>
      <c r="GN27" s="55"/>
      <c r="GO27" s="55"/>
      <c r="GP27" s="55"/>
      <c r="GQ27" s="55"/>
      <c r="GR27" s="55"/>
      <c r="GS27" s="55"/>
      <c r="GT27" s="55"/>
      <c r="GU27" s="55"/>
      <c r="GV27" s="55"/>
      <c r="GW27" s="55"/>
      <c r="GX27" s="55"/>
      <c r="GY27" s="55"/>
      <c r="GZ27" s="55"/>
      <c r="HA27" s="55"/>
      <c r="HB27" s="55"/>
      <c r="HC27" s="55"/>
      <c r="HD27" s="55"/>
      <c r="HE27" s="55"/>
      <c r="HF27" s="55"/>
      <c r="HG27" s="55"/>
      <c r="HH27" s="55"/>
      <c r="HI27" s="55"/>
      <c r="HJ27" s="55"/>
      <c r="HK27" s="55"/>
      <c r="HL27" s="55"/>
      <c r="HM27" s="55"/>
      <c r="HN27" s="55"/>
    </row>
    <row r="28" spans="1:222">
      <c r="A28" s="55"/>
      <c r="B28" s="56"/>
      <c r="C28" s="176" t="s">
        <v>114</v>
      </c>
      <c r="D28" s="56"/>
      <c r="E28" s="56"/>
      <c r="F28" s="922">
        <v>227</v>
      </c>
      <c r="G28" s="922">
        <v>240</v>
      </c>
      <c r="H28" s="909">
        <f>'Working Capital Schedule'!H23</f>
        <v>252.22763823386305</v>
      </c>
      <c r="I28" s="909">
        <f>'Working Capital Schedule'!I23</f>
        <v>266.93012665211177</v>
      </c>
      <c r="J28" s="909">
        <f>'Working Capital Schedule'!J23</f>
        <v>281.85201816727715</v>
      </c>
      <c r="K28" s="909">
        <f>'Working Capital Schedule'!K23</f>
        <v>299.38405448791372</v>
      </c>
      <c r="L28" s="909">
        <f>'Working Capital Schedule'!L23</f>
        <v>317.13898941349004</v>
      </c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5"/>
      <c r="BR28" s="55"/>
      <c r="BS28" s="55"/>
      <c r="BT28" s="55"/>
      <c r="BU28" s="55"/>
      <c r="BV28" s="55"/>
      <c r="BW28" s="55"/>
      <c r="BX28" s="55"/>
      <c r="BY28" s="55"/>
      <c r="BZ28" s="55"/>
      <c r="CA28" s="55"/>
      <c r="CB28" s="55"/>
      <c r="CC28" s="55"/>
      <c r="CD28" s="55"/>
      <c r="CE28" s="55"/>
      <c r="CF28" s="55"/>
      <c r="CG28" s="55"/>
      <c r="CH28" s="55"/>
      <c r="CI28" s="55"/>
      <c r="CJ28" s="55"/>
      <c r="CK28" s="55"/>
      <c r="CL28" s="55"/>
      <c r="CM28" s="55"/>
      <c r="CN28" s="55"/>
      <c r="CO28" s="55"/>
      <c r="CP28" s="55"/>
      <c r="CQ28" s="55"/>
      <c r="CR28" s="55"/>
      <c r="CS28" s="55"/>
      <c r="CT28" s="55"/>
      <c r="CU28" s="55"/>
      <c r="CV28" s="55"/>
      <c r="CW28" s="55"/>
      <c r="CX28" s="55"/>
      <c r="CY28" s="55"/>
      <c r="CZ28" s="55"/>
      <c r="DA28" s="55"/>
      <c r="DB28" s="55"/>
      <c r="DC28" s="55"/>
      <c r="DD28" s="55"/>
      <c r="DE28" s="55"/>
      <c r="DF28" s="55"/>
      <c r="DG28" s="55"/>
      <c r="DH28" s="55"/>
      <c r="DI28" s="55"/>
      <c r="DJ28" s="55"/>
      <c r="DK28" s="55"/>
      <c r="DL28" s="55"/>
      <c r="DM28" s="55"/>
      <c r="DN28" s="55"/>
      <c r="DO28" s="55"/>
      <c r="DP28" s="55"/>
      <c r="DQ28" s="55"/>
      <c r="DR28" s="55"/>
      <c r="DS28" s="55"/>
      <c r="DT28" s="55"/>
      <c r="DU28" s="55"/>
      <c r="DV28" s="55"/>
      <c r="DW28" s="55"/>
      <c r="DX28" s="55"/>
      <c r="DY28" s="55"/>
      <c r="DZ28" s="55"/>
      <c r="EA28" s="55"/>
      <c r="EB28" s="55"/>
      <c r="EC28" s="55"/>
      <c r="ED28" s="55"/>
      <c r="EE28" s="55"/>
      <c r="EF28" s="55"/>
      <c r="EG28" s="55"/>
      <c r="EH28" s="55"/>
      <c r="EI28" s="55"/>
      <c r="EJ28" s="55"/>
      <c r="EK28" s="55"/>
      <c r="EL28" s="55"/>
      <c r="EM28" s="55"/>
      <c r="EN28" s="55"/>
      <c r="EO28" s="55"/>
      <c r="EP28" s="55"/>
      <c r="EQ28" s="55"/>
      <c r="ER28" s="55"/>
      <c r="ES28" s="55"/>
      <c r="ET28" s="55"/>
      <c r="EU28" s="55"/>
      <c r="EV28" s="55"/>
      <c r="EW28" s="55"/>
      <c r="EX28" s="55"/>
      <c r="EY28" s="55"/>
      <c r="EZ28" s="55"/>
      <c r="FA28" s="55"/>
      <c r="FB28" s="55"/>
      <c r="FC28" s="55"/>
      <c r="FD28" s="55"/>
      <c r="FE28" s="55"/>
      <c r="FF28" s="55"/>
      <c r="FG28" s="55"/>
      <c r="FH28" s="55"/>
      <c r="FI28" s="55"/>
      <c r="FJ28" s="55"/>
      <c r="FK28" s="55"/>
      <c r="FL28" s="55"/>
      <c r="FM28" s="55"/>
      <c r="FN28" s="55"/>
      <c r="FO28" s="55"/>
      <c r="FP28" s="55"/>
      <c r="FQ28" s="55"/>
      <c r="FR28" s="55"/>
      <c r="FS28" s="55"/>
      <c r="FT28" s="55"/>
      <c r="FU28" s="55"/>
      <c r="FV28" s="55"/>
      <c r="FW28" s="55"/>
      <c r="FX28" s="55"/>
      <c r="FY28" s="55"/>
      <c r="FZ28" s="55"/>
      <c r="GA28" s="55"/>
      <c r="GB28" s="55"/>
      <c r="GC28" s="55"/>
      <c r="GD28" s="55"/>
      <c r="GE28" s="55"/>
      <c r="GF28" s="55"/>
      <c r="GG28" s="55"/>
      <c r="GH28" s="55"/>
      <c r="GI28" s="55"/>
      <c r="GJ28" s="55"/>
      <c r="GK28" s="55"/>
      <c r="GL28" s="55"/>
      <c r="GM28" s="55"/>
      <c r="GN28" s="55"/>
      <c r="GO28" s="55"/>
      <c r="GP28" s="55"/>
      <c r="GQ28" s="55"/>
      <c r="GR28" s="55"/>
      <c r="GS28" s="55"/>
      <c r="GT28" s="55"/>
      <c r="GU28" s="55"/>
      <c r="GV28" s="55"/>
      <c r="GW28" s="55"/>
      <c r="GX28" s="55"/>
      <c r="GY28" s="55"/>
      <c r="GZ28" s="55"/>
      <c r="HA28" s="55"/>
      <c r="HB28" s="55"/>
      <c r="HC28" s="55"/>
      <c r="HD28" s="55"/>
      <c r="HE28" s="55"/>
      <c r="HF28" s="55"/>
      <c r="HG28" s="55"/>
      <c r="HH28" s="55"/>
      <c r="HI28" s="55"/>
      <c r="HJ28" s="55"/>
      <c r="HK28" s="55"/>
      <c r="HL28" s="55"/>
      <c r="HM28" s="55"/>
      <c r="HN28" s="55"/>
    </row>
    <row r="29" spans="1:222">
      <c r="A29" s="55"/>
      <c r="B29" s="56"/>
      <c r="C29" s="176" t="s">
        <v>129</v>
      </c>
      <c r="D29" s="56"/>
      <c r="E29" s="56"/>
      <c r="F29" s="31">
        <v>39671</v>
      </c>
      <c r="G29" s="31">
        <v>40198</v>
      </c>
      <c r="H29" s="230">
        <f>-'Working Capital Schedule'!H32</f>
        <v>41583.924666702042</v>
      </c>
      <c r="I29" s="230">
        <f>-'Working Capital Schedule'!I32</f>
        <v>43247.978610007085</v>
      </c>
      <c r="J29" s="230">
        <f>-'Working Capital Schedule'!J32</f>
        <v>45222.817810521454</v>
      </c>
      <c r="K29" s="230">
        <f>-'Working Capital Schedule'!K32</f>
        <v>47555.331150315214</v>
      </c>
      <c r="L29" s="230">
        <f>-'Working Capital Schedule'!L32</f>
        <v>50007.569680031389</v>
      </c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5"/>
      <c r="BP29" s="55"/>
      <c r="BQ29" s="55"/>
      <c r="BR29" s="55"/>
      <c r="BS29" s="55"/>
      <c r="BT29" s="55"/>
      <c r="BU29" s="55"/>
      <c r="BV29" s="55"/>
      <c r="BW29" s="55"/>
      <c r="BX29" s="55"/>
      <c r="BY29" s="55"/>
      <c r="BZ29" s="55"/>
      <c r="CA29" s="55"/>
      <c r="CB29" s="55"/>
      <c r="CC29" s="55"/>
      <c r="CD29" s="55"/>
      <c r="CE29" s="55"/>
      <c r="CF29" s="55"/>
      <c r="CG29" s="55"/>
      <c r="CH29" s="55"/>
      <c r="CI29" s="55"/>
      <c r="CJ29" s="55"/>
      <c r="CK29" s="55"/>
      <c r="CL29" s="55"/>
      <c r="CM29" s="55"/>
      <c r="CN29" s="55"/>
      <c r="CO29" s="55"/>
      <c r="CP29" s="55"/>
      <c r="CQ29" s="55"/>
      <c r="CR29" s="55"/>
      <c r="CS29" s="55"/>
      <c r="CT29" s="55"/>
      <c r="CU29" s="55"/>
      <c r="CV29" s="55"/>
      <c r="CW29" s="55"/>
      <c r="CX29" s="55"/>
      <c r="CY29" s="55"/>
      <c r="CZ29" s="55"/>
      <c r="DA29" s="55"/>
      <c r="DB29" s="55"/>
      <c r="DC29" s="55"/>
      <c r="DD29" s="55"/>
      <c r="DE29" s="55"/>
      <c r="DF29" s="55"/>
      <c r="DG29" s="55"/>
      <c r="DH29" s="55"/>
      <c r="DI29" s="55"/>
      <c r="DJ29" s="55"/>
      <c r="DK29" s="55"/>
      <c r="DL29" s="55"/>
      <c r="DM29" s="55"/>
      <c r="DN29" s="55"/>
      <c r="DO29" s="55"/>
      <c r="DP29" s="55"/>
      <c r="DQ29" s="55"/>
      <c r="DR29" s="55"/>
      <c r="DS29" s="55"/>
      <c r="DT29" s="55"/>
      <c r="DU29" s="55"/>
      <c r="DV29" s="55"/>
      <c r="DW29" s="55"/>
      <c r="DX29" s="55"/>
      <c r="DY29" s="55"/>
      <c r="DZ29" s="55"/>
      <c r="EA29" s="55"/>
      <c r="EB29" s="55"/>
      <c r="EC29" s="55"/>
      <c r="ED29" s="55"/>
      <c r="EE29" s="55"/>
      <c r="EF29" s="55"/>
      <c r="EG29" s="55"/>
      <c r="EH29" s="55"/>
      <c r="EI29" s="55"/>
      <c r="EJ29" s="55"/>
      <c r="EK29" s="55"/>
      <c r="EL29" s="55"/>
      <c r="EM29" s="55"/>
      <c r="EN29" s="55"/>
      <c r="EO29" s="55"/>
      <c r="EP29" s="55"/>
      <c r="EQ29" s="55"/>
      <c r="ER29" s="55"/>
      <c r="ES29" s="55"/>
      <c r="ET29" s="55"/>
      <c r="EU29" s="55"/>
      <c r="EV29" s="55"/>
      <c r="EW29" s="55"/>
      <c r="EX29" s="55"/>
      <c r="EY29" s="55"/>
      <c r="EZ29" s="55"/>
      <c r="FA29" s="55"/>
      <c r="FB29" s="55"/>
      <c r="FC29" s="55"/>
      <c r="FD29" s="55"/>
      <c r="FE29" s="55"/>
      <c r="FF29" s="55"/>
      <c r="FG29" s="55"/>
      <c r="FH29" s="55"/>
      <c r="FI29" s="55"/>
      <c r="FJ29" s="55"/>
      <c r="FK29" s="55"/>
      <c r="FL29" s="55"/>
      <c r="FM29" s="55"/>
      <c r="FN29" s="55"/>
      <c r="FO29" s="55"/>
      <c r="FP29" s="55"/>
      <c r="FQ29" s="55"/>
      <c r="FR29" s="55"/>
      <c r="FS29" s="55"/>
      <c r="FT29" s="55"/>
      <c r="FU29" s="55"/>
      <c r="FV29" s="55"/>
      <c r="FW29" s="55"/>
      <c r="FX29" s="55"/>
      <c r="FY29" s="55"/>
      <c r="FZ29" s="55"/>
      <c r="GA29" s="55"/>
      <c r="GB29" s="55"/>
      <c r="GC29" s="55"/>
      <c r="GD29" s="55"/>
      <c r="GE29" s="55"/>
      <c r="GF29" s="55"/>
      <c r="GG29" s="55"/>
      <c r="GH29" s="55"/>
      <c r="GI29" s="55"/>
      <c r="GJ29" s="55"/>
      <c r="GK29" s="55"/>
      <c r="GL29" s="55"/>
      <c r="GM29" s="55"/>
      <c r="GN29" s="55"/>
      <c r="GO29" s="55"/>
      <c r="GP29" s="55"/>
      <c r="GQ29" s="55"/>
      <c r="GR29" s="55"/>
      <c r="GS29" s="55"/>
      <c r="GT29" s="55"/>
      <c r="GU29" s="55"/>
      <c r="GV29" s="55"/>
      <c r="GW29" s="55"/>
      <c r="GX29" s="55"/>
      <c r="GY29" s="55"/>
      <c r="GZ29" s="55"/>
      <c r="HA29" s="55"/>
      <c r="HB29" s="55"/>
      <c r="HC29" s="55"/>
      <c r="HD29" s="55"/>
      <c r="HE29" s="55"/>
      <c r="HF29" s="55"/>
      <c r="HG29" s="55"/>
      <c r="HH29" s="55"/>
      <c r="HI29" s="55"/>
      <c r="HJ29" s="55"/>
      <c r="HK29" s="55"/>
      <c r="HL29" s="55"/>
      <c r="HM29" s="55"/>
      <c r="HN29" s="55"/>
    </row>
    <row r="30" spans="1:222">
      <c r="A30" s="55"/>
      <c r="B30" s="56"/>
      <c r="C30" s="176" t="s">
        <v>130</v>
      </c>
      <c r="D30" s="56"/>
      <c r="E30" s="56"/>
      <c r="F30" s="243">
        <f>5592-1191</f>
        <v>4401</v>
      </c>
      <c r="G30" s="243">
        <f>6005-1396</f>
        <v>4609</v>
      </c>
      <c r="H30" s="54">
        <f>'Working Capital Schedule'!H24</f>
        <v>4859.5858299724277</v>
      </c>
      <c r="I30" s="54">
        <f>'Working Capital Schedule'!I24</f>
        <v>5142.8537734973534</v>
      </c>
      <c r="J30" s="54">
        <f>'Working Capital Schedule'!J24</f>
        <v>5430.348883356206</v>
      </c>
      <c r="K30" s="54">
        <f>'Working Capital Schedule'!K24</f>
        <v>5768.1327831338049</v>
      </c>
      <c r="L30" s="54">
        <f>'Working Capital Schedule'!L24</f>
        <v>6110.2111960332422</v>
      </c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5"/>
      <c r="BQ30" s="55"/>
      <c r="BR30" s="55"/>
      <c r="BS30" s="55"/>
      <c r="BT30" s="55"/>
      <c r="BU30" s="55"/>
      <c r="BV30" s="55"/>
      <c r="BW30" s="55"/>
      <c r="BX30" s="55"/>
      <c r="BY30" s="55"/>
      <c r="BZ30" s="55"/>
      <c r="CA30" s="55"/>
      <c r="CB30" s="55"/>
      <c r="CC30" s="55"/>
      <c r="CD30" s="55"/>
      <c r="CE30" s="55"/>
      <c r="CF30" s="55"/>
      <c r="CG30" s="55"/>
      <c r="CH30" s="55"/>
      <c r="CI30" s="55"/>
      <c r="CJ30" s="55"/>
      <c r="CK30" s="55"/>
      <c r="CL30" s="55"/>
      <c r="CM30" s="55"/>
      <c r="CN30" s="55"/>
      <c r="CO30" s="55"/>
      <c r="CP30" s="55"/>
      <c r="CQ30" s="55"/>
      <c r="CR30" s="55"/>
      <c r="CS30" s="55"/>
      <c r="CT30" s="55"/>
      <c r="CU30" s="55"/>
      <c r="CV30" s="55"/>
      <c r="CW30" s="55"/>
      <c r="CX30" s="55"/>
      <c r="CY30" s="55"/>
      <c r="CZ30" s="55"/>
      <c r="DA30" s="55"/>
      <c r="DB30" s="55"/>
      <c r="DC30" s="55"/>
      <c r="DD30" s="55"/>
      <c r="DE30" s="55"/>
      <c r="DF30" s="55"/>
      <c r="DG30" s="55"/>
      <c r="DH30" s="55"/>
      <c r="DI30" s="55"/>
      <c r="DJ30" s="55"/>
      <c r="DK30" s="55"/>
      <c r="DL30" s="55"/>
      <c r="DM30" s="55"/>
      <c r="DN30" s="55"/>
      <c r="DO30" s="55"/>
      <c r="DP30" s="55"/>
      <c r="DQ30" s="55"/>
      <c r="DR30" s="55"/>
      <c r="DS30" s="55"/>
      <c r="DT30" s="55"/>
      <c r="DU30" s="55"/>
      <c r="DV30" s="55"/>
      <c r="DW30" s="55"/>
      <c r="DX30" s="55"/>
      <c r="DY30" s="55"/>
      <c r="DZ30" s="55"/>
      <c r="EA30" s="55"/>
      <c r="EB30" s="55"/>
      <c r="EC30" s="55"/>
      <c r="ED30" s="55"/>
      <c r="EE30" s="55"/>
      <c r="EF30" s="55"/>
      <c r="EG30" s="55"/>
      <c r="EH30" s="55"/>
      <c r="EI30" s="55"/>
      <c r="EJ30" s="55"/>
      <c r="EK30" s="55"/>
      <c r="EL30" s="55"/>
      <c r="EM30" s="55"/>
      <c r="EN30" s="55"/>
      <c r="EO30" s="55"/>
      <c r="EP30" s="55"/>
      <c r="EQ30" s="55"/>
      <c r="ER30" s="55"/>
      <c r="ES30" s="55"/>
      <c r="ET30" s="55"/>
      <c r="EU30" s="55"/>
      <c r="EV30" s="55"/>
      <c r="EW30" s="55"/>
      <c r="EX30" s="55"/>
      <c r="EY30" s="55"/>
      <c r="EZ30" s="55"/>
      <c r="FA30" s="55"/>
      <c r="FB30" s="55"/>
      <c r="FC30" s="55"/>
      <c r="FD30" s="55"/>
      <c r="FE30" s="55"/>
      <c r="FF30" s="55"/>
      <c r="FG30" s="55"/>
      <c r="FH30" s="55"/>
      <c r="FI30" s="55"/>
      <c r="FJ30" s="55"/>
      <c r="FK30" s="55"/>
      <c r="FL30" s="55"/>
      <c r="FM30" s="55"/>
      <c r="FN30" s="55"/>
      <c r="FO30" s="55"/>
      <c r="FP30" s="55"/>
      <c r="FQ30" s="55"/>
      <c r="FR30" s="55"/>
      <c r="FS30" s="55"/>
      <c r="FT30" s="55"/>
      <c r="FU30" s="55"/>
      <c r="FV30" s="55"/>
      <c r="FW30" s="55"/>
      <c r="FX30" s="55"/>
      <c r="FY30" s="55"/>
      <c r="FZ30" s="55"/>
      <c r="GA30" s="55"/>
      <c r="GB30" s="55"/>
      <c r="GC30" s="55"/>
      <c r="GD30" s="55"/>
      <c r="GE30" s="55"/>
      <c r="GF30" s="55"/>
      <c r="GG30" s="55"/>
      <c r="GH30" s="55"/>
      <c r="GI30" s="55"/>
      <c r="GJ30" s="55"/>
      <c r="GK30" s="55"/>
      <c r="GL30" s="55"/>
      <c r="GM30" s="55"/>
      <c r="GN30" s="55"/>
      <c r="GO30" s="55"/>
      <c r="GP30" s="55"/>
      <c r="GQ30" s="55"/>
      <c r="GR30" s="55"/>
      <c r="GS30" s="55"/>
      <c r="GT30" s="55"/>
      <c r="GU30" s="55"/>
      <c r="GV30" s="55"/>
      <c r="GW30" s="55"/>
      <c r="GX30" s="55"/>
      <c r="GY30" s="55"/>
      <c r="GZ30" s="55"/>
      <c r="HA30" s="55"/>
      <c r="HB30" s="55"/>
      <c r="HC30" s="55"/>
      <c r="HD30" s="55"/>
      <c r="HE30" s="55"/>
      <c r="HF30" s="55"/>
      <c r="HG30" s="55"/>
      <c r="HH30" s="55"/>
      <c r="HI30" s="55"/>
      <c r="HJ30" s="55"/>
      <c r="HK30" s="55"/>
      <c r="HL30" s="55"/>
      <c r="HM30" s="55"/>
      <c r="HN30" s="55"/>
    </row>
    <row r="31" spans="1:222">
      <c r="A31" s="55"/>
      <c r="B31" s="56"/>
      <c r="C31" s="176" t="s">
        <v>229</v>
      </c>
      <c r="D31" s="56"/>
      <c r="E31" s="56"/>
      <c r="F31" s="163">
        <v>1191</v>
      </c>
      <c r="G31" s="163">
        <v>1396</v>
      </c>
      <c r="H31" s="84"/>
      <c r="I31" s="84"/>
      <c r="J31" s="84"/>
      <c r="K31" s="84"/>
      <c r="L31" s="84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5"/>
      <c r="BK31" s="55"/>
      <c r="BL31" s="55"/>
      <c r="BM31" s="55"/>
      <c r="BN31" s="55"/>
      <c r="BO31" s="55"/>
      <c r="BP31" s="55"/>
      <c r="BQ31" s="55"/>
      <c r="BR31" s="55"/>
      <c r="BS31" s="55"/>
      <c r="BT31" s="55"/>
      <c r="BU31" s="55"/>
      <c r="BV31" s="55"/>
      <c r="BW31" s="55"/>
      <c r="BX31" s="55"/>
      <c r="BY31" s="55"/>
      <c r="BZ31" s="55"/>
      <c r="CA31" s="55"/>
      <c r="CB31" s="55"/>
      <c r="CC31" s="55"/>
      <c r="CD31" s="55"/>
      <c r="CE31" s="55"/>
      <c r="CF31" s="55"/>
      <c r="CG31" s="55"/>
      <c r="CH31" s="55"/>
      <c r="CI31" s="55"/>
      <c r="CJ31" s="55"/>
      <c r="CK31" s="55"/>
      <c r="CL31" s="55"/>
      <c r="CM31" s="55"/>
      <c r="CN31" s="55"/>
      <c r="CO31" s="55"/>
      <c r="CP31" s="55"/>
      <c r="CQ31" s="55"/>
      <c r="CR31" s="55"/>
      <c r="CS31" s="55"/>
      <c r="CT31" s="55"/>
      <c r="CU31" s="55"/>
      <c r="CV31" s="55"/>
      <c r="CW31" s="55"/>
      <c r="CX31" s="55"/>
      <c r="CY31" s="55"/>
      <c r="CZ31" s="55"/>
      <c r="DA31" s="55"/>
      <c r="DB31" s="55"/>
      <c r="DC31" s="55"/>
      <c r="DD31" s="55"/>
      <c r="DE31" s="55"/>
      <c r="DF31" s="55"/>
      <c r="DG31" s="55"/>
      <c r="DH31" s="55"/>
      <c r="DI31" s="55"/>
      <c r="DJ31" s="55"/>
      <c r="DK31" s="55"/>
      <c r="DL31" s="55"/>
      <c r="DM31" s="55"/>
      <c r="DN31" s="55"/>
      <c r="DO31" s="55"/>
      <c r="DP31" s="55"/>
      <c r="DQ31" s="55"/>
      <c r="DR31" s="55"/>
      <c r="DS31" s="55"/>
      <c r="DT31" s="55"/>
      <c r="DU31" s="55"/>
      <c r="DV31" s="55"/>
      <c r="DW31" s="55"/>
      <c r="DX31" s="55"/>
      <c r="DY31" s="55"/>
      <c r="DZ31" s="55"/>
      <c r="EA31" s="55"/>
      <c r="EB31" s="55"/>
      <c r="EC31" s="55"/>
      <c r="ED31" s="55"/>
      <c r="EE31" s="55"/>
      <c r="EF31" s="55"/>
      <c r="EG31" s="55"/>
      <c r="EH31" s="55"/>
      <c r="EI31" s="55"/>
      <c r="EJ31" s="55"/>
      <c r="EK31" s="55"/>
      <c r="EL31" s="55"/>
      <c r="EM31" s="55"/>
      <c r="EN31" s="55"/>
      <c r="EO31" s="55"/>
      <c r="EP31" s="55"/>
      <c r="EQ31" s="55"/>
      <c r="ER31" s="55"/>
      <c r="ES31" s="55"/>
      <c r="ET31" s="55"/>
      <c r="EU31" s="55"/>
      <c r="EV31" s="55"/>
      <c r="EW31" s="55"/>
      <c r="EX31" s="55"/>
      <c r="EY31" s="55"/>
      <c r="EZ31" s="55"/>
      <c r="FA31" s="55"/>
      <c r="FB31" s="55"/>
      <c r="FC31" s="55"/>
      <c r="FD31" s="55"/>
      <c r="FE31" s="55"/>
      <c r="FF31" s="55"/>
      <c r="FG31" s="55"/>
      <c r="FH31" s="55"/>
      <c r="FI31" s="55"/>
      <c r="FJ31" s="55"/>
      <c r="FK31" s="55"/>
      <c r="FL31" s="55"/>
      <c r="FM31" s="55"/>
      <c r="FN31" s="55"/>
      <c r="FO31" s="55"/>
      <c r="FP31" s="55"/>
      <c r="FQ31" s="55"/>
      <c r="FR31" s="55"/>
      <c r="FS31" s="55"/>
      <c r="FT31" s="55"/>
      <c r="FU31" s="55"/>
      <c r="FV31" s="55"/>
      <c r="FW31" s="55"/>
      <c r="FX31" s="55"/>
      <c r="FY31" s="55"/>
      <c r="FZ31" s="55"/>
      <c r="GA31" s="55"/>
      <c r="GB31" s="55"/>
      <c r="GC31" s="55"/>
      <c r="GD31" s="55"/>
      <c r="GE31" s="55"/>
      <c r="GF31" s="55"/>
      <c r="GG31" s="55"/>
      <c r="GH31" s="55"/>
      <c r="GI31" s="55"/>
      <c r="GJ31" s="55"/>
      <c r="GK31" s="55"/>
      <c r="GL31" s="55"/>
      <c r="GM31" s="55"/>
      <c r="GN31" s="55"/>
      <c r="GO31" s="55"/>
      <c r="GP31" s="55"/>
      <c r="GQ31" s="55"/>
      <c r="GR31" s="55"/>
      <c r="GS31" s="55"/>
      <c r="GT31" s="55"/>
      <c r="GU31" s="55"/>
      <c r="GV31" s="55"/>
      <c r="GW31" s="55"/>
      <c r="GX31" s="55"/>
      <c r="GY31" s="55"/>
      <c r="GZ31" s="55"/>
      <c r="HA31" s="55"/>
      <c r="HB31" s="55"/>
      <c r="HC31" s="55"/>
      <c r="HD31" s="55"/>
      <c r="HE31" s="55"/>
      <c r="HF31" s="55"/>
      <c r="HG31" s="55"/>
      <c r="HH31" s="55"/>
      <c r="HI31" s="55"/>
      <c r="HJ31" s="55"/>
      <c r="HK31" s="55"/>
      <c r="HL31" s="55"/>
      <c r="HM31" s="55"/>
      <c r="HN31" s="55"/>
    </row>
    <row r="32" spans="1:222">
      <c r="A32" s="55"/>
      <c r="B32" s="56"/>
      <c r="C32" s="227" t="s">
        <v>115</v>
      </c>
      <c r="D32" s="56"/>
      <c r="E32" s="56"/>
      <c r="F32" s="910">
        <f t="shared" ref="F32:L32" si="5">SUM(F28:F31)</f>
        <v>45490</v>
      </c>
      <c r="G32" s="910">
        <f t="shared" si="5"/>
        <v>46443</v>
      </c>
      <c r="H32" s="910">
        <f t="shared" si="5"/>
        <v>46695.73813490833</v>
      </c>
      <c r="I32" s="910">
        <f t="shared" si="5"/>
        <v>48657.76251015655</v>
      </c>
      <c r="J32" s="910">
        <f t="shared" si="5"/>
        <v>50935.018712044941</v>
      </c>
      <c r="K32" s="910">
        <f t="shared" si="5"/>
        <v>53622.847987936933</v>
      </c>
      <c r="L32" s="910">
        <f t="shared" si="5"/>
        <v>56434.919865478121</v>
      </c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55"/>
      <c r="BH32" s="55"/>
      <c r="BI32" s="55"/>
      <c r="BJ32" s="55"/>
      <c r="BK32" s="55"/>
      <c r="BL32" s="55"/>
      <c r="BM32" s="55"/>
      <c r="BN32" s="55"/>
      <c r="BO32" s="55"/>
      <c r="BP32" s="55"/>
      <c r="BQ32" s="55"/>
      <c r="BR32" s="55"/>
      <c r="BS32" s="55"/>
      <c r="BT32" s="55"/>
      <c r="BU32" s="55"/>
      <c r="BV32" s="55"/>
      <c r="BW32" s="55"/>
      <c r="BX32" s="55"/>
      <c r="BY32" s="55"/>
      <c r="BZ32" s="55"/>
      <c r="CA32" s="55"/>
      <c r="CB32" s="55"/>
      <c r="CC32" s="55"/>
      <c r="CD32" s="55"/>
      <c r="CE32" s="55"/>
      <c r="CF32" s="55"/>
      <c r="CG32" s="55"/>
      <c r="CH32" s="55"/>
      <c r="CI32" s="55"/>
      <c r="CJ32" s="55"/>
      <c r="CK32" s="55"/>
      <c r="CL32" s="55"/>
      <c r="CM32" s="55"/>
      <c r="CN32" s="55"/>
      <c r="CO32" s="55"/>
      <c r="CP32" s="55"/>
      <c r="CQ32" s="55"/>
      <c r="CR32" s="55"/>
      <c r="CS32" s="55"/>
      <c r="CT32" s="55"/>
      <c r="CU32" s="55"/>
      <c r="CV32" s="55"/>
      <c r="CW32" s="55"/>
      <c r="CX32" s="55"/>
      <c r="CY32" s="55"/>
      <c r="CZ32" s="55"/>
      <c r="DA32" s="55"/>
      <c r="DB32" s="55"/>
      <c r="DC32" s="55"/>
      <c r="DD32" s="55"/>
      <c r="DE32" s="55"/>
      <c r="DF32" s="55"/>
      <c r="DG32" s="55"/>
      <c r="DH32" s="55"/>
      <c r="DI32" s="55"/>
      <c r="DJ32" s="55"/>
      <c r="DK32" s="55"/>
      <c r="DL32" s="55"/>
      <c r="DM32" s="55"/>
      <c r="DN32" s="55"/>
      <c r="DO32" s="55"/>
      <c r="DP32" s="55"/>
      <c r="DQ32" s="55"/>
      <c r="DR32" s="55"/>
      <c r="DS32" s="55"/>
      <c r="DT32" s="55"/>
      <c r="DU32" s="55"/>
      <c r="DV32" s="55"/>
      <c r="DW32" s="55"/>
      <c r="DX32" s="55"/>
      <c r="DY32" s="55"/>
      <c r="DZ32" s="55"/>
      <c r="EA32" s="55"/>
      <c r="EB32" s="55"/>
      <c r="EC32" s="55"/>
      <c r="ED32" s="55"/>
      <c r="EE32" s="55"/>
      <c r="EF32" s="55"/>
      <c r="EG32" s="55"/>
      <c r="EH32" s="55"/>
      <c r="EI32" s="55"/>
      <c r="EJ32" s="55"/>
      <c r="EK32" s="55"/>
      <c r="EL32" s="55"/>
      <c r="EM32" s="55"/>
      <c r="EN32" s="55"/>
      <c r="EO32" s="55"/>
      <c r="EP32" s="55"/>
      <c r="EQ32" s="55"/>
      <c r="ER32" s="55"/>
      <c r="ES32" s="55"/>
      <c r="ET32" s="55"/>
      <c r="EU32" s="55"/>
      <c r="EV32" s="55"/>
      <c r="EW32" s="55"/>
      <c r="EX32" s="55"/>
      <c r="EY32" s="55"/>
      <c r="EZ32" s="55"/>
      <c r="FA32" s="55"/>
      <c r="FB32" s="55"/>
      <c r="FC32" s="55"/>
      <c r="FD32" s="55"/>
      <c r="FE32" s="55"/>
      <c r="FF32" s="55"/>
      <c r="FG32" s="55"/>
      <c r="FH32" s="55"/>
      <c r="FI32" s="55"/>
      <c r="FJ32" s="55"/>
      <c r="FK32" s="55"/>
      <c r="FL32" s="55"/>
      <c r="FM32" s="55"/>
      <c r="FN32" s="55"/>
      <c r="FO32" s="55"/>
      <c r="FP32" s="55"/>
      <c r="FQ32" s="55"/>
      <c r="FR32" s="55"/>
      <c r="FS32" s="55"/>
      <c r="FT32" s="55"/>
      <c r="FU32" s="55"/>
      <c r="FV32" s="55"/>
      <c r="FW32" s="55"/>
      <c r="FX32" s="55"/>
      <c r="FY32" s="55"/>
      <c r="FZ32" s="55"/>
      <c r="GA32" s="55"/>
      <c r="GB32" s="55"/>
      <c r="GC32" s="55"/>
      <c r="GD32" s="55"/>
      <c r="GE32" s="55"/>
      <c r="GF32" s="55"/>
      <c r="GG32" s="55"/>
      <c r="GH32" s="55"/>
      <c r="GI32" s="55"/>
      <c r="GJ32" s="55"/>
      <c r="GK32" s="55"/>
      <c r="GL32" s="55"/>
      <c r="GM32" s="55"/>
      <c r="GN32" s="55"/>
      <c r="GO32" s="55"/>
      <c r="GP32" s="55"/>
      <c r="GQ32" s="55"/>
      <c r="GR32" s="55"/>
      <c r="GS32" s="55"/>
      <c r="GT32" s="55"/>
      <c r="GU32" s="55"/>
      <c r="GV32" s="55"/>
      <c r="GW32" s="55"/>
      <c r="GX32" s="55"/>
      <c r="GY32" s="55"/>
      <c r="GZ32" s="55"/>
      <c r="HA32" s="55"/>
      <c r="HB32" s="55"/>
      <c r="HC32" s="55"/>
      <c r="HD32" s="55"/>
      <c r="HE32" s="55"/>
      <c r="HF32" s="55"/>
      <c r="HG32" s="55"/>
      <c r="HH32" s="55"/>
      <c r="HI32" s="55"/>
      <c r="HJ32" s="55"/>
      <c r="HK32" s="55"/>
      <c r="HL32" s="55"/>
      <c r="HM32" s="55"/>
      <c r="HN32" s="55"/>
    </row>
    <row r="33" spans="1:222">
      <c r="A33" s="55"/>
      <c r="B33" s="56"/>
      <c r="C33" s="56"/>
      <c r="D33" s="56"/>
      <c r="E33" s="56"/>
      <c r="F33" s="97"/>
      <c r="G33" s="98"/>
      <c r="H33" s="98"/>
      <c r="I33" s="98"/>
      <c r="J33" s="96"/>
      <c r="K33" s="98"/>
      <c r="L33" s="98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55"/>
      <c r="BL33" s="55"/>
      <c r="BM33" s="55"/>
      <c r="BN33" s="55"/>
      <c r="BO33" s="55"/>
      <c r="BP33" s="55"/>
      <c r="BQ33" s="55"/>
      <c r="BR33" s="55"/>
      <c r="BS33" s="55"/>
      <c r="BT33" s="55"/>
      <c r="BU33" s="55"/>
      <c r="BV33" s="55"/>
      <c r="BW33" s="55"/>
      <c r="BX33" s="55"/>
      <c r="BY33" s="55"/>
      <c r="BZ33" s="55"/>
      <c r="CA33" s="55"/>
      <c r="CB33" s="55"/>
      <c r="CC33" s="55"/>
      <c r="CD33" s="55"/>
      <c r="CE33" s="55"/>
      <c r="CF33" s="55"/>
      <c r="CG33" s="55"/>
      <c r="CH33" s="55"/>
      <c r="CI33" s="55"/>
      <c r="CJ33" s="55"/>
      <c r="CK33" s="55"/>
      <c r="CL33" s="55"/>
      <c r="CM33" s="55"/>
      <c r="CN33" s="55"/>
      <c r="CO33" s="55"/>
      <c r="CP33" s="55"/>
      <c r="CQ33" s="55"/>
      <c r="CR33" s="55"/>
      <c r="CS33" s="55"/>
      <c r="CT33" s="55"/>
      <c r="CU33" s="55"/>
      <c r="CV33" s="55"/>
      <c r="CW33" s="55"/>
      <c r="CX33" s="55"/>
      <c r="CY33" s="55"/>
      <c r="CZ33" s="55"/>
      <c r="DA33" s="55"/>
      <c r="DB33" s="55"/>
      <c r="DC33" s="55"/>
      <c r="DD33" s="55"/>
      <c r="DE33" s="55"/>
      <c r="DF33" s="55"/>
      <c r="DG33" s="55"/>
      <c r="DH33" s="55"/>
      <c r="DI33" s="55"/>
      <c r="DJ33" s="55"/>
      <c r="DK33" s="55"/>
      <c r="DL33" s="55"/>
      <c r="DM33" s="55"/>
      <c r="DN33" s="55"/>
      <c r="DO33" s="55"/>
      <c r="DP33" s="55"/>
      <c r="DQ33" s="55"/>
      <c r="DR33" s="55"/>
      <c r="DS33" s="55"/>
      <c r="DT33" s="55"/>
      <c r="DU33" s="55"/>
      <c r="DV33" s="55"/>
      <c r="DW33" s="55"/>
      <c r="DX33" s="55"/>
      <c r="DY33" s="55"/>
      <c r="DZ33" s="55"/>
      <c r="EA33" s="55"/>
      <c r="EB33" s="55"/>
      <c r="EC33" s="55"/>
      <c r="ED33" s="55"/>
      <c r="EE33" s="55"/>
      <c r="EF33" s="55"/>
      <c r="EG33" s="55"/>
      <c r="EH33" s="55"/>
      <c r="EI33" s="55"/>
      <c r="EJ33" s="55"/>
      <c r="EK33" s="55"/>
      <c r="EL33" s="55"/>
      <c r="EM33" s="55"/>
      <c r="EN33" s="55"/>
      <c r="EO33" s="55"/>
      <c r="EP33" s="55"/>
      <c r="EQ33" s="55"/>
      <c r="ER33" s="55"/>
      <c r="ES33" s="55"/>
      <c r="ET33" s="55"/>
      <c r="EU33" s="55"/>
      <c r="EV33" s="55"/>
      <c r="EW33" s="55"/>
      <c r="EX33" s="55"/>
      <c r="EY33" s="55"/>
      <c r="EZ33" s="55"/>
      <c r="FA33" s="55"/>
      <c r="FB33" s="55"/>
      <c r="FC33" s="55"/>
      <c r="FD33" s="55"/>
      <c r="FE33" s="55"/>
      <c r="FF33" s="55"/>
      <c r="FG33" s="55"/>
      <c r="FH33" s="55"/>
      <c r="FI33" s="55"/>
      <c r="FJ33" s="55"/>
      <c r="FK33" s="55"/>
      <c r="FL33" s="55"/>
      <c r="FM33" s="55"/>
      <c r="FN33" s="55"/>
      <c r="FO33" s="55"/>
      <c r="FP33" s="55"/>
      <c r="FQ33" s="55"/>
      <c r="FR33" s="55"/>
      <c r="FS33" s="55"/>
      <c r="FT33" s="55"/>
      <c r="FU33" s="55"/>
      <c r="FV33" s="55"/>
      <c r="FW33" s="55"/>
      <c r="FX33" s="55"/>
      <c r="FY33" s="55"/>
      <c r="FZ33" s="55"/>
      <c r="GA33" s="55"/>
      <c r="GB33" s="55"/>
      <c r="GC33" s="55"/>
      <c r="GD33" s="55"/>
      <c r="GE33" s="55"/>
      <c r="GF33" s="55"/>
      <c r="GG33" s="55"/>
      <c r="GH33" s="55"/>
      <c r="GI33" s="55"/>
      <c r="GJ33" s="55"/>
      <c r="GK33" s="55"/>
      <c r="GL33" s="55"/>
      <c r="GM33" s="55"/>
      <c r="GN33" s="55"/>
      <c r="GO33" s="55"/>
      <c r="GP33" s="55"/>
      <c r="GQ33" s="55"/>
      <c r="GR33" s="55"/>
      <c r="GS33" s="55"/>
      <c r="GT33" s="55"/>
      <c r="GU33" s="55"/>
      <c r="GV33" s="55"/>
      <c r="GW33" s="55"/>
      <c r="GX33" s="55"/>
      <c r="GY33" s="55"/>
      <c r="GZ33" s="55"/>
      <c r="HA33" s="55"/>
      <c r="HB33" s="55"/>
      <c r="HC33" s="55"/>
      <c r="HD33" s="55"/>
      <c r="HE33" s="55"/>
      <c r="HF33" s="55"/>
      <c r="HG33" s="55"/>
      <c r="HH33" s="55"/>
      <c r="HI33" s="55"/>
      <c r="HJ33" s="55"/>
      <c r="HK33" s="55"/>
      <c r="HL33" s="55"/>
      <c r="HM33" s="55"/>
      <c r="HN33" s="55"/>
    </row>
    <row r="34" spans="1:222">
      <c r="A34" s="55"/>
      <c r="B34" s="56"/>
      <c r="C34" s="125" t="s">
        <v>131</v>
      </c>
      <c r="D34" s="56"/>
      <c r="E34" s="56"/>
      <c r="F34" s="31">
        <v>2939</v>
      </c>
      <c r="G34" s="31">
        <v>3487</v>
      </c>
      <c r="H34" s="242">
        <f>G34*(1+Assumptions!$N$19)</f>
        <v>3696.2200000000003</v>
      </c>
      <c r="I34" s="242">
        <f>H34*(1+Assumptions!$N$19)</f>
        <v>3917.9932000000003</v>
      </c>
      <c r="J34" s="242">
        <f>I34*(1+Assumptions!$N$19)</f>
        <v>4153.0727920000008</v>
      </c>
      <c r="K34" s="242">
        <f>J34*(1+Assumptions!$N$19)</f>
        <v>4402.2571595200016</v>
      </c>
      <c r="L34" s="242">
        <f>K34*(1+Assumptions!$N$19)</f>
        <v>4666.3925890912014</v>
      </c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K34" s="55"/>
      <c r="BL34" s="55"/>
      <c r="BM34" s="55"/>
      <c r="BN34" s="55"/>
      <c r="BO34" s="55"/>
      <c r="BP34" s="55"/>
      <c r="BQ34" s="55"/>
      <c r="BR34" s="55"/>
      <c r="BS34" s="55"/>
      <c r="BT34" s="55"/>
      <c r="BU34" s="55"/>
      <c r="BV34" s="55"/>
      <c r="BW34" s="55"/>
      <c r="BX34" s="55"/>
      <c r="BY34" s="55"/>
      <c r="BZ34" s="55"/>
      <c r="CA34" s="55"/>
      <c r="CB34" s="55"/>
      <c r="CC34" s="55"/>
      <c r="CD34" s="55"/>
      <c r="CE34" s="55"/>
      <c r="CF34" s="55"/>
      <c r="CG34" s="55"/>
      <c r="CH34" s="55"/>
      <c r="CI34" s="55"/>
      <c r="CJ34" s="55"/>
      <c r="CK34" s="55"/>
      <c r="CL34" s="55"/>
      <c r="CM34" s="55"/>
      <c r="CN34" s="55"/>
      <c r="CO34" s="55"/>
      <c r="CP34" s="55"/>
      <c r="CQ34" s="55"/>
      <c r="CR34" s="55"/>
      <c r="CS34" s="55"/>
      <c r="CT34" s="55"/>
      <c r="CU34" s="55"/>
      <c r="CV34" s="55"/>
      <c r="CW34" s="55"/>
      <c r="CX34" s="55"/>
      <c r="CY34" s="55"/>
      <c r="CZ34" s="55"/>
      <c r="DA34" s="55"/>
      <c r="DB34" s="55"/>
      <c r="DC34" s="55"/>
      <c r="DD34" s="55"/>
      <c r="DE34" s="55"/>
      <c r="DF34" s="55"/>
      <c r="DG34" s="55"/>
      <c r="DH34" s="55"/>
      <c r="DI34" s="55"/>
      <c r="DJ34" s="55"/>
      <c r="DK34" s="55"/>
      <c r="DL34" s="55"/>
      <c r="DM34" s="55"/>
      <c r="DN34" s="55"/>
      <c r="DO34" s="55"/>
      <c r="DP34" s="55"/>
      <c r="DQ34" s="55"/>
      <c r="DR34" s="55"/>
      <c r="DS34" s="55"/>
      <c r="DT34" s="55"/>
      <c r="DU34" s="55"/>
      <c r="DV34" s="55"/>
      <c r="DW34" s="55"/>
      <c r="DX34" s="55"/>
      <c r="DY34" s="55"/>
      <c r="DZ34" s="55"/>
      <c r="EA34" s="55"/>
      <c r="EB34" s="55"/>
      <c r="EC34" s="55"/>
      <c r="ED34" s="55"/>
      <c r="EE34" s="55"/>
      <c r="EF34" s="55"/>
      <c r="EG34" s="55"/>
      <c r="EH34" s="55"/>
      <c r="EI34" s="55"/>
      <c r="EJ34" s="55"/>
      <c r="EK34" s="55"/>
      <c r="EL34" s="55"/>
      <c r="EM34" s="55"/>
      <c r="EN34" s="55"/>
      <c r="EO34" s="55"/>
      <c r="EP34" s="55"/>
      <c r="EQ34" s="55"/>
      <c r="ER34" s="55"/>
      <c r="ES34" s="55"/>
      <c r="ET34" s="55"/>
      <c r="EU34" s="55"/>
      <c r="EV34" s="55"/>
      <c r="EW34" s="55"/>
      <c r="EX34" s="55"/>
      <c r="EY34" s="55"/>
      <c r="EZ34" s="55"/>
      <c r="FA34" s="55"/>
      <c r="FB34" s="55"/>
      <c r="FC34" s="55"/>
      <c r="FD34" s="55"/>
      <c r="FE34" s="55"/>
      <c r="FF34" s="55"/>
      <c r="FG34" s="55"/>
      <c r="FH34" s="55"/>
      <c r="FI34" s="55"/>
      <c r="FJ34" s="55"/>
      <c r="FK34" s="55"/>
      <c r="FL34" s="55"/>
      <c r="FM34" s="55"/>
      <c r="FN34" s="55"/>
      <c r="FO34" s="55"/>
      <c r="FP34" s="55"/>
      <c r="FQ34" s="55"/>
      <c r="FR34" s="55"/>
      <c r="FS34" s="55"/>
      <c r="FT34" s="55"/>
      <c r="FU34" s="55"/>
      <c r="FV34" s="55"/>
      <c r="FW34" s="55"/>
      <c r="FX34" s="55"/>
      <c r="FY34" s="55"/>
      <c r="FZ34" s="55"/>
      <c r="GA34" s="55"/>
      <c r="GB34" s="55"/>
      <c r="GC34" s="55"/>
      <c r="GD34" s="55"/>
      <c r="GE34" s="55"/>
      <c r="GF34" s="55"/>
      <c r="GG34" s="55"/>
      <c r="GH34" s="55"/>
      <c r="GI34" s="55"/>
      <c r="GJ34" s="55"/>
      <c r="GK34" s="55"/>
      <c r="GL34" s="55"/>
      <c r="GM34" s="55"/>
      <c r="GN34" s="55"/>
      <c r="GO34" s="55"/>
      <c r="GP34" s="55"/>
      <c r="GQ34" s="55"/>
      <c r="GR34" s="55"/>
      <c r="GS34" s="55"/>
      <c r="GT34" s="55"/>
      <c r="GU34" s="55"/>
      <c r="GV34" s="55"/>
      <c r="GW34" s="55"/>
      <c r="GX34" s="55"/>
      <c r="GY34" s="55"/>
      <c r="GZ34" s="55"/>
      <c r="HA34" s="55"/>
      <c r="HB34" s="55"/>
      <c r="HC34" s="55"/>
      <c r="HD34" s="55"/>
      <c r="HE34" s="55"/>
      <c r="HF34" s="55"/>
      <c r="HG34" s="55"/>
      <c r="HH34" s="55"/>
      <c r="HI34" s="55"/>
      <c r="HJ34" s="55"/>
      <c r="HK34" s="55"/>
      <c r="HL34" s="55"/>
      <c r="HM34" s="55"/>
      <c r="HN34" s="55"/>
    </row>
    <row r="35" spans="1:222">
      <c r="A35" s="55"/>
      <c r="B35" s="56"/>
      <c r="C35" s="176" t="s">
        <v>132</v>
      </c>
      <c r="D35" s="56"/>
      <c r="E35" s="56"/>
      <c r="F35" s="163">
        <v>9879</v>
      </c>
      <c r="G35" s="163">
        <v>9987</v>
      </c>
      <c r="H35" s="86">
        <f>'Debt Schedule'!H34</f>
        <v>9986</v>
      </c>
      <c r="I35" s="86">
        <f>'Debt Schedule'!I34</f>
        <v>8911</v>
      </c>
      <c r="J35" s="86">
        <f>'Debt Schedule'!J34</f>
        <v>7774</v>
      </c>
      <c r="K35" s="86">
        <f>'Debt Schedule'!K34</f>
        <v>6274</v>
      </c>
      <c r="L35" s="86">
        <f>'Debt Schedule'!L34</f>
        <v>5274</v>
      </c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55"/>
      <c r="BJ35" s="55"/>
      <c r="BK35" s="55"/>
      <c r="BL35" s="55"/>
      <c r="BM35" s="55"/>
      <c r="BN35" s="55"/>
      <c r="BO35" s="55"/>
      <c r="BP35" s="55"/>
      <c r="BQ35" s="55"/>
      <c r="BR35" s="55"/>
      <c r="BS35" s="55"/>
      <c r="BT35" s="55"/>
      <c r="BU35" s="55"/>
      <c r="BV35" s="55"/>
      <c r="BW35" s="55"/>
      <c r="BX35" s="55"/>
      <c r="BY35" s="55"/>
      <c r="BZ35" s="55"/>
      <c r="CA35" s="55"/>
      <c r="CB35" s="55"/>
      <c r="CC35" s="55"/>
      <c r="CD35" s="55"/>
      <c r="CE35" s="55"/>
      <c r="CF35" s="55"/>
      <c r="CG35" s="55"/>
      <c r="CH35" s="55"/>
      <c r="CI35" s="55"/>
      <c r="CJ35" s="55"/>
      <c r="CK35" s="55"/>
      <c r="CL35" s="55"/>
      <c r="CM35" s="55"/>
      <c r="CN35" s="55"/>
      <c r="CO35" s="55"/>
      <c r="CP35" s="55"/>
      <c r="CQ35" s="55"/>
      <c r="CR35" s="55"/>
      <c r="CS35" s="55"/>
      <c r="CT35" s="55"/>
      <c r="CU35" s="55"/>
      <c r="CV35" s="55"/>
      <c r="CW35" s="55"/>
      <c r="CX35" s="55"/>
      <c r="CY35" s="55"/>
      <c r="CZ35" s="55"/>
      <c r="DA35" s="55"/>
      <c r="DB35" s="55"/>
      <c r="DC35" s="55"/>
      <c r="DD35" s="55"/>
      <c r="DE35" s="55"/>
      <c r="DF35" s="55"/>
      <c r="DG35" s="55"/>
      <c r="DH35" s="55"/>
      <c r="DI35" s="55"/>
      <c r="DJ35" s="55"/>
      <c r="DK35" s="55"/>
      <c r="DL35" s="55"/>
      <c r="DM35" s="55"/>
      <c r="DN35" s="55"/>
      <c r="DO35" s="55"/>
      <c r="DP35" s="55"/>
      <c r="DQ35" s="55"/>
      <c r="DR35" s="55"/>
      <c r="DS35" s="55"/>
      <c r="DT35" s="55"/>
      <c r="DU35" s="55"/>
      <c r="DV35" s="55"/>
      <c r="DW35" s="55"/>
      <c r="DX35" s="55"/>
      <c r="DY35" s="55"/>
      <c r="DZ35" s="55"/>
      <c r="EA35" s="55"/>
      <c r="EB35" s="55"/>
      <c r="EC35" s="55"/>
      <c r="ED35" s="55"/>
      <c r="EE35" s="55"/>
      <c r="EF35" s="55"/>
      <c r="EG35" s="55"/>
      <c r="EH35" s="55"/>
      <c r="EI35" s="55"/>
      <c r="EJ35" s="55"/>
      <c r="EK35" s="55"/>
      <c r="EL35" s="55"/>
      <c r="EM35" s="55"/>
      <c r="EN35" s="55"/>
      <c r="EO35" s="55"/>
      <c r="EP35" s="55"/>
      <c r="EQ35" s="55"/>
      <c r="ER35" s="55"/>
      <c r="ES35" s="55"/>
      <c r="ET35" s="55"/>
      <c r="EU35" s="55"/>
      <c r="EV35" s="55"/>
      <c r="EW35" s="55"/>
      <c r="EX35" s="55"/>
      <c r="EY35" s="55"/>
      <c r="EZ35" s="55"/>
      <c r="FA35" s="55"/>
      <c r="FB35" s="55"/>
      <c r="FC35" s="55"/>
      <c r="FD35" s="55"/>
      <c r="FE35" s="55"/>
      <c r="FF35" s="55"/>
      <c r="FG35" s="55"/>
      <c r="FH35" s="55"/>
      <c r="FI35" s="55"/>
      <c r="FJ35" s="55"/>
      <c r="FK35" s="55"/>
      <c r="FL35" s="55"/>
      <c r="FM35" s="55"/>
      <c r="FN35" s="55"/>
      <c r="FO35" s="55"/>
      <c r="FP35" s="55"/>
      <c r="FQ35" s="55"/>
      <c r="FR35" s="55"/>
      <c r="FS35" s="55"/>
      <c r="FT35" s="55"/>
      <c r="FU35" s="55"/>
      <c r="FV35" s="55"/>
      <c r="FW35" s="55"/>
      <c r="FX35" s="55"/>
      <c r="FY35" s="55"/>
      <c r="FZ35" s="55"/>
      <c r="GA35" s="55"/>
      <c r="GB35" s="55"/>
      <c r="GC35" s="55"/>
      <c r="GD35" s="55"/>
      <c r="GE35" s="55"/>
      <c r="GF35" s="55"/>
      <c r="GG35" s="55"/>
      <c r="GH35" s="55"/>
      <c r="GI35" s="55"/>
      <c r="GJ35" s="55"/>
      <c r="GK35" s="55"/>
      <c r="GL35" s="55"/>
      <c r="GM35" s="55"/>
      <c r="GN35" s="55"/>
      <c r="GO35" s="55"/>
      <c r="GP35" s="55"/>
      <c r="GQ35" s="55"/>
      <c r="GR35" s="55"/>
      <c r="GS35" s="55"/>
      <c r="GT35" s="55"/>
      <c r="GU35" s="55"/>
      <c r="GV35" s="55"/>
      <c r="GW35" s="55"/>
      <c r="GX35" s="55"/>
      <c r="GY35" s="55"/>
      <c r="GZ35" s="55"/>
      <c r="HA35" s="55"/>
      <c r="HB35" s="55"/>
      <c r="HC35" s="55"/>
      <c r="HD35" s="55"/>
      <c r="HE35" s="55"/>
      <c r="HF35" s="55"/>
      <c r="HG35" s="55"/>
      <c r="HH35" s="55"/>
      <c r="HI35" s="55"/>
      <c r="HJ35" s="55"/>
      <c r="HK35" s="55"/>
      <c r="HL35" s="55"/>
      <c r="HM35" s="55"/>
      <c r="HN35" s="55"/>
    </row>
    <row r="36" spans="1:222">
      <c r="A36" s="55"/>
      <c r="B36" s="56"/>
      <c r="C36" s="229" t="s">
        <v>116</v>
      </c>
      <c r="D36" s="56"/>
      <c r="E36" s="56"/>
      <c r="F36" s="917">
        <f t="shared" ref="F36:L36" si="6">SUM(F34:F35)</f>
        <v>12818</v>
      </c>
      <c r="G36" s="917">
        <f t="shared" si="6"/>
        <v>13474</v>
      </c>
      <c r="H36" s="917">
        <f t="shared" si="6"/>
        <v>13682.220000000001</v>
      </c>
      <c r="I36" s="917">
        <f t="shared" si="6"/>
        <v>12828.993200000001</v>
      </c>
      <c r="J36" s="917">
        <f t="shared" si="6"/>
        <v>11927.072792000001</v>
      </c>
      <c r="K36" s="917">
        <f t="shared" si="6"/>
        <v>10676.257159520002</v>
      </c>
      <c r="L36" s="917">
        <f t="shared" si="6"/>
        <v>9940.3925890912014</v>
      </c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55"/>
      <c r="CA36" s="55"/>
      <c r="CB36" s="55"/>
      <c r="CC36" s="55"/>
      <c r="CD36" s="55"/>
      <c r="CE36" s="55"/>
      <c r="CF36" s="55"/>
      <c r="CG36" s="55"/>
      <c r="CH36" s="55"/>
      <c r="CI36" s="55"/>
      <c r="CJ36" s="55"/>
      <c r="CK36" s="55"/>
      <c r="CL36" s="55"/>
      <c r="CM36" s="55"/>
      <c r="CN36" s="55"/>
      <c r="CO36" s="55"/>
      <c r="CP36" s="55"/>
      <c r="CQ36" s="55"/>
      <c r="CR36" s="55"/>
      <c r="CS36" s="55"/>
      <c r="CT36" s="55"/>
      <c r="CU36" s="55"/>
      <c r="CV36" s="55"/>
      <c r="CW36" s="55"/>
      <c r="CX36" s="55"/>
      <c r="CY36" s="55"/>
      <c r="CZ36" s="55"/>
      <c r="DA36" s="55"/>
      <c r="DB36" s="55"/>
      <c r="DC36" s="55"/>
      <c r="DD36" s="55"/>
      <c r="DE36" s="55"/>
      <c r="DF36" s="55"/>
      <c r="DG36" s="55"/>
      <c r="DH36" s="55"/>
      <c r="DI36" s="55"/>
      <c r="DJ36" s="55"/>
      <c r="DK36" s="55"/>
      <c r="DL36" s="55"/>
      <c r="DM36" s="55"/>
      <c r="DN36" s="55"/>
      <c r="DO36" s="55"/>
      <c r="DP36" s="55"/>
      <c r="DQ36" s="55"/>
      <c r="DR36" s="55"/>
      <c r="DS36" s="55"/>
      <c r="DT36" s="55"/>
      <c r="DU36" s="55"/>
      <c r="DV36" s="55"/>
      <c r="DW36" s="55"/>
      <c r="DX36" s="55"/>
      <c r="DY36" s="55"/>
      <c r="DZ36" s="55"/>
      <c r="EA36" s="55"/>
      <c r="EB36" s="55"/>
      <c r="EC36" s="55"/>
      <c r="ED36" s="55"/>
      <c r="EE36" s="55"/>
      <c r="EF36" s="55"/>
      <c r="EG36" s="55"/>
      <c r="EH36" s="55"/>
      <c r="EI36" s="55"/>
      <c r="EJ36" s="55"/>
      <c r="EK36" s="55"/>
      <c r="EL36" s="55"/>
      <c r="EM36" s="55"/>
      <c r="EN36" s="55"/>
      <c r="EO36" s="55"/>
      <c r="EP36" s="55"/>
      <c r="EQ36" s="55"/>
      <c r="ER36" s="55"/>
      <c r="ES36" s="55"/>
      <c r="ET36" s="55"/>
      <c r="EU36" s="55"/>
      <c r="EV36" s="55"/>
      <c r="EW36" s="55"/>
      <c r="EX36" s="55"/>
      <c r="EY36" s="55"/>
      <c r="EZ36" s="55"/>
      <c r="FA36" s="55"/>
      <c r="FB36" s="55"/>
      <c r="FC36" s="55"/>
      <c r="FD36" s="55"/>
      <c r="FE36" s="55"/>
      <c r="FF36" s="55"/>
      <c r="FG36" s="55"/>
      <c r="FH36" s="55"/>
      <c r="FI36" s="55"/>
      <c r="FJ36" s="55"/>
      <c r="FK36" s="55"/>
      <c r="FL36" s="55"/>
      <c r="FM36" s="55"/>
      <c r="FN36" s="55"/>
      <c r="FO36" s="55"/>
      <c r="FP36" s="55"/>
      <c r="FQ36" s="55"/>
      <c r="FR36" s="55"/>
      <c r="FS36" s="55"/>
      <c r="FT36" s="55"/>
      <c r="FU36" s="55"/>
      <c r="FV36" s="55"/>
      <c r="FW36" s="55"/>
      <c r="FX36" s="55"/>
      <c r="FY36" s="55"/>
      <c r="FZ36" s="55"/>
      <c r="GA36" s="55"/>
      <c r="GB36" s="55"/>
      <c r="GC36" s="55"/>
      <c r="GD36" s="55"/>
      <c r="GE36" s="55"/>
      <c r="GF36" s="55"/>
      <c r="GG36" s="55"/>
      <c r="GH36" s="55"/>
      <c r="GI36" s="55"/>
      <c r="GJ36" s="55"/>
      <c r="GK36" s="55"/>
      <c r="GL36" s="55"/>
      <c r="GM36" s="55"/>
      <c r="GN36" s="55"/>
      <c r="GO36" s="55"/>
      <c r="GP36" s="55"/>
      <c r="GQ36" s="55"/>
      <c r="GR36" s="55"/>
      <c r="GS36" s="55"/>
      <c r="GT36" s="55"/>
      <c r="GU36" s="55"/>
      <c r="GV36" s="55"/>
      <c r="GW36" s="55"/>
      <c r="GX36" s="55"/>
      <c r="GY36" s="55"/>
      <c r="GZ36" s="55"/>
      <c r="HA36" s="55"/>
      <c r="HB36" s="55"/>
      <c r="HC36" s="55"/>
      <c r="HD36" s="55"/>
      <c r="HE36" s="55"/>
      <c r="HF36" s="55"/>
      <c r="HG36" s="55"/>
      <c r="HH36" s="55"/>
      <c r="HI36" s="55"/>
      <c r="HJ36" s="55"/>
      <c r="HK36" s="55"/>
      <c r="HL36" s="55"/>
      <c r="HM36" s="55"/>
      <c r="HN36" s="55"/>
    </row>
    <row r="37" spans="1:222">
      <c r="A37" s="55"/>
      <c r="B37" s="56"/>
      <c r="C37" s="13"/>
      <c r="D37" s="56"/>
      <c r="E37" s="56"/>
      <c r="F37" s="97"/>
      <c r="G37" s="98"/>
      <c r="H37" s="98"/>
      <c r="I37" s="98"/>
      <c r="J37" s="98"/>
      <c r="K37" s="98"/>
      <c r="L37" s="98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  <c r="BM37" s="55"/>
      <c r="BN37" s="55"/>
      <c r="BO37" s="55"/>
      <c r="BP37" s="55"/>
      <c r="BQ37" s="55"/>
      <c r="BR37" s="55"/>
      <c r="BS37" s="55"/>
      <c r="BT37" s="55"/>
      <c r="BU37" s="55"/>
      <c r="BV37" s="55"/>
      <c r="BW37" s="55"/>
      <c r="BX37" s="55"/>
      <c r="BY37" s="55"/>
      <c r="BZ37" s="55"/>
      <c r="CA37" s="55"/>
      <c r="CB37" s="55"/>
      <c r="CC37" s="55"/>
      <c r="CD37" s="55"/>
      <c r="CE37" s="55"/>
      <c r="CF37" s="55"/>
      <c r="CG37" s="55"/>
      <c r="CH37" s="55"/>
      <c r="CI37" s="55"/>
      <c r="CJ37" s="55"/>
      <c r="CK37" s="55"/>
      <c r="CL37" s="55"/>
      <c r="CM37" s="55"/>
      <c r="CN37" s="55"/>
      <c r="CO37" s="55"/>
      <c r="CP37" s="55"/>
      <c r="CQ37" s="55"/>
      <c r="CR37" s="55"/>
      <c r="CS37" s="55"/>
      <c r="CT37" s="55"/>
      <c r="CU37" s="55"/>
      <c r="CV37" s="55"/>
      <c r="CW37" s="55"/>
      <c r="CX37" s="55"/>
      <c r="CY37" s="55"/>
      <c r="CZ37" s="55"/>
      <c r="DA37" s="55"/>
      <c r="DB37" s="55"/>
      <c r="DC37" s="55"/>
      <c r="DD37" s="55"/>
      <c r="DE37" s="55"/>
      <c r="DF37" s="55"/>
      <c r="DG37" s="55"/>
      <c r="DH37" s="55"/>
      <c r="DI37" s="55"/>
      <c r="DJ37" s="55"/>
      <c r="DK37" s="55"/>
      <c r="DL37" s="55"/>
      <c r="DM37" s="55"/>
      <c r="DN37" s="55"/>
      <c r="DO37" s="55"/>
      <c r="DP37" s="55"/>
      <c r="DQ37" s="55"/>
      <c r="DR37" s="55"/>
      <c r="DS37" s="55"/>
      <c r="DT37" s="55"/>
      <c r="DU37" s="55"/>
      <c r="DV37" s="55"/>
      <c r="DW37" s="55"/>
      <c r="DX37" s="55"/>
      <c r="DY37" s="55"/>
      <c r="DZ37" s="55"/>
      <c r="EA37" s="55"/>
      <c r="EB37" s="55"/>
      <c r="EC37" s="55"/>
      <c r="ED37" s="55"/>
      <c r="EE37" s="55"/>
      <c r="EF37" s="55"/>
      <c r="EG37" s="55"/>
      <c r="EH37" s="55"/>
      <c r="EI37" s="55"/>
      <c r="EJ37" s="55"/>
      <c r="EK37" s="55"/>
      <c r="EL37" s="55"/>
      <c r="EM37" s="55"/>
      <c r="EN37" s="55"/>
      <c r="EO37" s="55"/>
      <c r="EP37" s="55"/>
      <c r="EQ37" s="55"/>
      <c r="ER37" s="55"/>
      <c r="ES37" s="55"/>
      <c r="ET37" s="55"/>
      <c r="EU37" s="55"/>
      <c r="EV37" s="55"/>
      <c r="EW37" s="55"/>
      <c r="EX37" s="55"/>
      <c r="EY37" s="55"/>
      <c r="EZ37" s="55"/>
      <c r="FA37" s="55"/>
      <c r="FB37" s="55"/>
      <c r="FC37" s="55"/>
      <c r="FD37" s="55"/>
      <c r="FE37" s="55"/>
      <c r="FF37" s="55"/>
      <c r="FG37" s="55"/>
      <c r="FH37" s="55"/>
      <c r="FI37" s="55"/>
      <c r="FJ37" s="55"/>
      <c r="FK37" s="55"/>
      <c r="FL37" s="55"/>
      <c r="FM37" s="55"/>
      <c r="FN37" s="55"/>
      <c r="FO37" s="55"/>
      <c r="FP37" s="55"/>
      <c r="FQ37" s="55"/>
      <c r="FR37" s="55"/>
      <c r="FS37" s="55"/>
      <c r="FT37" s="55"/>
      <c r="FU37" s="55"/>
      <c r="FV37" s="55"/>
      <c r="FW37" s="55"/>
      <c r="FX37" s="55"/>
      <c r="FY37" s="55"/>
      <c r="FZ37" s="55"/>
      <c r="GA37" s="55"/>
      <c r="GB37" s="55"/>
      <c r="GC37" s="55"/>
      <c r="GD37" s="55"/>
      <c r="GE37" s="55"/>
      <c r="GF37" s="55"/>
      <c r="GG37" s="55"/>
      <c r="GH37" s="55"/>
      <c r="GI37" s="55"/>
      <c r="GJ37" s="55"/>
      <c r="GK37" s="55"/>
      <c r="GL37" s="55"/>
      <c r="GM37" s="55"/>
      <c r="GN37" s="55"/>
      <c r="GO37" s="55"/>
      <c r="GP37" s="55"/>
      <c r="GQ37" s="55"/>
      <c r="GR37" s="55"/>
      <c r="GS37" s="55"/>
      <c r="GT37" s="55"/>
      <c r="GU37" s="55"/>
      <c r="GV37" s="55"/>
      <c r="GW37" s="55"/>
      <c r="GX37" s="55"/>
      <c r="GY37" s="55"/>
      <c r="GZ37" s="55"/>
      <c r="HA37" s="55"/>
      <c r="HB37" s="55"/>
      <c r="HC37" s="55"/>
      <c r="HD37" s="55"/>
      <c r="HE37" s="55"/>
      <c r="HF37" s="55"/>
      <c r="HG37" s="55"/>
      <c r="HH37" s="55"/>
      <c r="HI37" s="55"/>
      <c r="HJ37" s="55"/>
      <c r="HK37" s="55"/>
      <c r="HL37" s="55"/>
      <c r="HM37" s="55"/>
      <c r="HN37" s="55"/>
    </row>
    <row r="38" spans="1:222">
      <c r="A38" s="55"/>
      <c r="B38" s="56"/>
      <c r="C38" s="229" t="s">
        <v>70</v>
      </c>
      <c r="D38" s="56"/>
      <c r="E38" s="56"/>
      <c r="F38" s="915">
        <f t="shared" ref="F38:L38" si="7">F36+F32</f>
        <v>58308</v>
      </c>
      <c r="G38" s="915">
        <f t="shared" si="7"/>
        <v>59917</v>
      </c>
      <c r="H38" s="915">
        <f t="shared" si="7"/>
        <v>60377.958134908331</v>
      </c>
      <c r="I38" s="915">
        <f t="shared" si="7"/>
        <v>61486.755710156547</v>
      </c>
      <c r="J38" s="915">
        <f t="shared" si="7"/>
        <v>62862.09150404494</v>
      </c>
      <c r="K38" s="915">
        <f t="shared" si="7"/>
        <v>64299.105147456939</v>
      </c>
      <c r="L38" s="915">
        <f t="shared" si="7"/>
        <v>66375.312454569328</v>
      </c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  <c r="BO38" s="55"/>
      <c r="BP38" s="55"/>
      <c r="BQ38" s="55"/>
      <c r="BR38" s="55"/>
      <c r="BS38" s="55"/>
      <c r="BT38" s="55"/>
      <c r="BU38" s="55"/>
      <c r="BV38" s="55"/>
      <c r="BW38" s="55"/>
      <c r="BX38" s="55"/>
      <c r="BY38" s="55"/>
      <c r="BZ38" s="55"/>
      <c r="CA38" s="55"/>
      <c r="CB38" s="55"/>
      <c r="CC38" s="55"/>
      <c r="CD38" s="55"/>
      <c r="CE38" s="55"/>
      <c r="CF38" s="55"/>
      <c r="CG38" s="55"/>
      <c r="CH38" s="55"/>
      <c r="CI38" s="55"/>
      <c r="CJ38" s="55"/>
      <c r="CK38" s="55"/>
      <c r="CL38" s="55"/>
      <c r="CM38" s="55"/>
      <c r="CN38" s="55"/>
      <c r="CO38" s="55"/>
      <c r="CP38" s="55"/>
      <c r="CQ38" s="55"/>
      <c r="CR38" s="55"/>
      <c r="CS38" s="55"/>
      <c r="CT38" s="55"/>
      <c r="CU38" s="55"/>
      <c r="CV38" s="55"/>
      <c r="CW38" s="55"/>
      <c r="CX38" s="55"/>
      <c r="CY38" s="55"/>
      <c r="CZ38" s="55"/>
      <c r="DA38" s="55"/>
      <c r="DB38" s="55"/>
      <c r="DC38" s="55"/>
      <c r="DD38" s="55"/>
      <c r="DE38" s="55"/>
      <c r="DF38" s="55"/>
      <c r="DG38" s="55"/>
      <c r="DH38" s="55"/>
      <c r="DI38" s="55"/>
      <c r="DJ38" s="55"/>
      <c r="DK38" s="55"/>
      <c r="DL38" s="55"/>
      <c r="DM38" s="55"/>
      <c r="DN38" s="55"/>
      <c r="DO38" s="55"/>
      <c r="DP38" s="55"/>
      <c r="DQ38" s="55"/>
      <c r="DR38" s="55"/>
      <c r="DS38" s="55"/>
      <c r="DT38" s="55"/>
      <c r="DU38" s="55"/>
      <c r="DV38" s="55"/>
      <c r="DW38" s="55"/>
      <c r="DX38" s="55"/>
      <c r="DY38" s="55"/>
      <c r="DZ38" s="55"/>
      <c r="EA38" s="55"/>
      <c r="EB38" s="55"/>
      <c r="EC38" s="55"/>
      <c r="ED38" s="55"/>
      <c r="EE38" s="55"/>
      <c r="EF38" s="55"/>
      <c r="EG38" s="55"/>
      <c r="EH38" s="55"/>
      <c r="EI38" s="55"/>
      <c r="EJ38" s="55"/>
      <c r="EK38" s="55"/>
      <c r="EL38" s="55"/>
      <c r="EM38" s="55"/>
      <c r="EN38" s="55"/>
      <c r="EO38" s="55"/>
      <c r="EP38" s="55"/>
      <c r="EQ38" s="55"/>
      <c r="ER38" s="55"/>
      <c r="ES38" s="55"/>
      <c r="ET38" s="55"/>
      <c r="EU38" s="55"/>
      <c r="EV38" s="55"/>
      <c r="EW38" s="55"/>
      <c r="EX38" s="55"/>
      <c r="EY38" s="55"/>
      <c r="EZ38" s="55"/>
      <c r="FA38" s="55"/>
      <c r="FB38" s="55"/>
      <c r="FC38" s="55"/>
      <c r="FD38" s="55"/>
      <c r="FE38" s="55"/>
      <c r="FF38" s="55"/>
      <c r="FG38" s="55"/>
      <c r="FH38" s="55"/>
      <c r="FI38" s="55"/>
      <c r="FJ38" s="55"/>
      <c r="FK38" s="55"/>
      <c r="FL38" s="55"/>
      <c r="FM38" s="55"/>
      <c r="FN38" s="55"/>
      <c r="FO38" s="55"/>
      <c r="FP38" s="55"/>
      <c r="FQ38" s="55"/>
      <c r="FR38" s="55"/>
      <c r="FS38" s="55"/>
      <c r="FT38" s="55"/>
      <c r="FU38" s="55"/>
      <c r="FV38" s="55"/>
      <c r="FW38" s="55"/>
      <c r="FX38" s="55"/>
      <c r="FY38" s="55"/>
      <c r="FZ38" s="55"/>
      <c r="GA38" s="55"/>
      <c r="GB38" s="55"/>
      <c r="GC38" s="55"/>
      <c r="GD38" s="55"/>
      <c r="GE38" s="55"/>
      <c r="GF38" s="55"/>
      <c r="GG38" s="55"/>
      <c r="GH38" s="55"/>
      <c r="GI38" s="55"/>
      <c r="GJ38" s="55"/>
      <c r="GK38" s="55"/>
      <c r="GL38" s="55"/>
      <c r="GM38" s="55"/>
      <c r="GN38" s="55"/>
      <c r="GO38" s="55"/>
      <c r="GP38" s="55"/>
      <c r="GQ38" s="55"/>
      <c r="GR38" s="55"/>
      <c r="GS38" s="55"/>
      <c r="GT38" s="55"/>
      <c r="GU38" s="55"/>
      <c r="GV38" s="55"/>
      <c r="GW38" s="55"/>
      <c r="GX38" s="55"/>
      <c r="GY38" s="55"/>
      <c r="GZ38" s="55"/>
      <c r="HA38" s="55"/>
      <c r="HB38" s="55"/>
      <c r="HC38" s="55"/>
      <c r="HD38" s="55"/>
      <c r="HE38" s="55"/>
      <c r="HF38" s="55"/>
      <c r="HG38" s="55"/>
      <c r="HH38" s="55"/>
      <c r="HI38" s="55"/>
      <c r="HJ38" s="55"/>
      <c r="HK38" s="55"/>
      <c r="HL38" s="55"/>
      <c r="HM38" s="55"/>
      <c r="HN38" s="55"/>
    </row>
    <row r="39" spans="1:222">
      <c r="A39" s="55"/>
      <c r="B39" s="56"/>
      <c r="C39" s="56"/>
      <c r="D39" s="56"/>
      <c r="E39" s="56"/>
      <c r="F39" s="97"/>
      <c r="G39" s="98"/>
      <c r="H39" s="98"/>
      <c r="I39" s="98"/>
      <c r="J39" s="98"/>
      <c r="K39" s="98"/>
      <c r="L39" s="98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55"/>
      <c r="BM39" s="55"/>
      <c r="BN39" s="55"/>
      <c r="BO39" s="55"/>
      <c r="BP39" s="55"/>
      <c r="BQ39" s="55"/>
      <c r="BR39" s="55"/>
      <c r="BS39" s="55"/>
      <c r="BT39" s="55"/>
      <c r="BU39" s="55"/>
      <c r="BV39" s="55"/>
      <c r="BW39" s="55"/>
      <c r="BX39" s="55"/>
      <c r="BY39" s="55"/>
      <c r="BZ39" s="55"/>
      <c r="CA39" s="55"/>
      <c r="CB39" s="55"/>
      <c r="CC39" s="55"/>
      <c r="CD39" s="55"/>
      <c r="CE39" s="55"/>
      <c r="CF39" s="55"/>
      <c r="CG39" s="55"/>
      <c r="CH39" s="55"/>
      <c r="CI39" s="55"/>
      <c r="CJ39" s="55"/>
      <c r="CK39" s="55"/>
      <c r="CL39" s="55"/>
      <c r="CM39" s="55"/>
      <c r="CN39" s="55"/>
      <c r="CO39" s="55"/>
      <c r="CP39" s="55"/>
      <c r="CQ39" s="55"/>
      <c r="CR39" s="55"/>
      <c r="CS39" s="55"/>
      <c r="CT39" s="55"/>
      <c r="CU39" s="55"/>
      <c r="CV39" s="55"/>
      <c r="CW39" s="55"/>
      <c r="CX39" s="55"/>
      <c r="CY39" s="55"/>
      <c r="CZ39" s="55"/>
      <c r="DA39" s="55"/>
      <c r="DB39" s="55"/>
      <c r="DC39" s="55"/>
      <c r="DD39" s="55"/>
      <c r="DE39" s="55"/>
      <c r="DF39" s="55"/>
      <c r="DG39" s="55"/>
      <c r="DH39" s="55"/>
      <c r="DI39" s="55"/>
      <c r="DJ39" s="55"/>
      <c r="DK39" s="55"/>
      <c r="DL39" s="55"/>
      <c r="DM39" s="55"/>
      <c r="DN39" s="55"/>
      <c r="DO39" s="55"/>
      <c r="DP39" s="55"/>
      <c r="DQ39" s="55"/>
      <c r="DR39" s="55"/>
      <c r="DS39" s="55"/>
      <c r="DT39" s="55"/>
      <c r="DU39" s="55"/>
      <c r="DV39" s="55"/>
      <c r="DW39" s="55"/>
      <c r="DX39" s="55"/>
      <c r="DY39" s="55"/>
      <c r="DZ39" s="55"/>
      <c r="EA39" s="55"/>
      <c r="EB39" s="55"/>
      <c r="EC39" s="55"/>
      <c r="ED39" s="55"/>
      <c r="EE39" s="55"/>
      <c r="EF39" s="55"/>
      <c r="EG39" s="55"/>
      <c r="EH39" s="55"/>
      <c r="EI39" s="55"/>
      <c r="EJ39" s="55"/>
      <c r="EK39" s="55"/>
      <c r="EL39" s="55"/>
      <c r="EM39" s="55"/>
      <c r="EN39" s="55"/>
      <c r="EO39" s="55"/>
      <c r="EP39" s="55"/>
      <c r="EQ39" s="55"/>
      <c r="ER39" s="55"/>
      <c r="ES39" s="55"/>
      <c r="ET39" s="55"/>
      <c r="EU39" s="55"/>
      <c r="EV39" s="55"/>
      <c r="EW39" s="55"/>
      <c r="EX39" s="55"/>
      <c r="EY39" s="55"/>
      <c r="EZ39" s="55"/>
      <c r="FA39" s="55"/>
      <c r="FB39" s="55"/>
      <c r="FC39" s="55"/>
      <c r="FD39" s="55"/>
      <c r="FE39" s="55"/>
      <c r="FF39" s="55"/>
      <c r="FG39" s="55"/>
      <c r="FH39" s="55"/>
      <c r="FI39" s="55"/>
      <c r="FJ39" s="55"/>
      <c r="FK39" s="55"/>
      <c r="FL39" s="55"/>
      <c r="FM39" s="55"/>
      <c r="FN39" s="55"/>
      <c r="FO39" s="55"/>
      <c r="FP39" s="55"/>
      <c r="FQ39" s="55"/>
      <c r="FR39" s="55"/>
      <c r="FS39" s="55"/>
      <c r="FT39" s="55"/>
      <c r="FU39" s="55"/>
      <c r="FV39" s="55"/>
      <c r="FW39" s="55"/>
      <c r="FX39" s="55"/>
      <c r="FY39" s="55"/>
      <c r="FZ39" s="55"/>
      <c r="GA39" s="55"/>
      <c r="GB39" s="55"/>
      <c r="GC39" s="55"/>
      <c r="GD39" s="55"/>
      <c r="GE39" s="55"/>
      <c r="GF39" s="55"/>
      <c r="GG39" s="55"/>
      <c r="GH39" s="55"/>
      <c r="GI39" s="55"/>
      <c r="GJ39" s="55"/>
      <c r="GK39" s="55"/>
      <c r="GL39" s="55"/>
      <c r="GM39" s="55"/>
      <c r="GN39" s="55"/>
      <c r="GO39" s="55"/>
      <c r="GP39" s="55"/>
      <c r="GQ39" s="55"/>
      <c r="GR39" s="55"/>
      <c r="GS39" s="55"/>
      <c r="GT39" s="55"/>
      <c r="GU39" s="55"/>
      <c r="GV39" s="55"/>
      <c r="GW39" s="55"/>
      <c r="GX39" s="55"/>
      <c r="GY39" s="55"/>
      <c r="GZ39" s="55"/>
      <c r="HA39" s="55"/>
      <c r="HB39" s="55"/>
      <c r="HC39" s="55"/>
      <c r="HD39" s="55"/>
      <c r="HE39" s="55"/>
      <c r="HF39" s="55"/>
      <c r="HG39" s="55"/>
      <c r="HH39" s="55"/>
      <c r="HI39" s="55"/>
      <c r="HJ39" s="55"/>
      <c r="HK39" s="55"/>
      <c r="HL39" s="55"/>
      <c r="HM39" s="55"/>
      <c r="HN39" s="55"/>
    </row>
    <row r="40" spans="1:222">
      <c r="A40" s="55"/>
      <c r="B40" s="56"/>
      <c r="C40" s="125" t="s">
        <v>133</v>
      </c>
      <c r="D40" s="56"/>
      <c r="E40" s="56"/>
      <c r="F40" s="36">
        <v>-27085</v>
      </c>
      <c r="G40" s="36">
        <v>-33138</v>
      </c>
      <c r="H40" s="242">
        <f>G40-(Assumptions!$N$10*'Equity Schedule'!H9)</f>
        <v>-38138</v>
      </c>
      <c r="I40" s="242">
        <f>H40-(Assumptions!$N$10*'Equity Schedule'!I9)</f>
        <v>-43138</v>
      </c>
      <c r="J40" s="242">
        <f>I40-(Assumptions!$N$10*'Equity Schedule'!J9)</f>
        <v>-48138</v>
      </c>
      <c r="K40" s="242">
        <f>J40-(Assumptions!$N$10*'Equity Schedule'!K9)</f>
        <v>-53138</v>
      </c>
      <c r="L40" s="242">
        <f>K40-(Assumptions!$N$10*'Equity Schedule'!L9)</f>
        <v>-58138</v>
      </c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5"/>
      <c r="BJ40" s="55"/>
      <c r="BK40" s="55"/>
      <c r="BL40" s="55"/>
      <c r="BM40" s="55"/>
      <c r="BN40" s="55"/>
      <c r="BO40" s="55"/>
      <c r="BP40" s="55"/>
      <c r="BQ40" s="55"/>
      <c r="BR40" s="55"/>
      <c r="BS40" s="55"/>
      <c r="BT40" s="55"/>
      <c r="BU40" s="55"/>
      <c r="BV40" s="55"/>
      <c r="BW40" s="55"/>
      <c r="BX40" s="55"/>
      <c r="BY40" s="55"/>
      <c r="BZ40" s="55"/>
      <c r="CA40" s="55"/>
      <c r="CB40" s="55"/>
      <c r="CC40" s="55"/>
      <c r="CD40" s="55"/>
      <c r="CE40" s="55"/>
      <c r="CF40" s="55"/>
      <c r="CG40" s="55"/>
      <c r="CH40" s="55"/>
      <c r="CI40" s="55"/>
      <c r="CJ40" s="55"/>
      <c r="CK40" s="55"/>
      <c r="CL40" s="55"/>
      <c r="CM40" s="55"/>
      <c r="CN40" s="55"/>
      <c r="CO40" s="55"/>
      <c r="CP40" s="55"/>
      <c r="CQ40" s="55"/>
      <c r="CR40" s="55"/>
      <c r="CS40" s="55"/>
      <c r="CT40" s="55"/>
      <c r="CU40" s="55"/>
      <c r="CV40" s="55"/>
      <c r="CW40" s="55"/>
      <c r="CX40" s="55"/>
      <c r="CY40" s="55"/>
      <c r="CZ40" s="55"/>
      <c r="DA40" s="55"/>
      <c r="DB40" s="55"/>
      <c r="DC40" s="55"/>
      <c r="DD40" s="55"/>
      <c r="DE40" s="55"/>
      <c r="DF40" s="55"/>
      <c r="DG40" s="55"/>
      <c r="DH40" s="55"/>
      <c r="DI40" s="55"/>
      <c r="DJ40" s="55"/>
      <c r="DK40" s="55"/>
      <c r="DL40" s="55"/>
      <c r="DM40" s="55"/>
      <c r="DN40" s="55"/>
      <c r="DO40" s="55"/>
      <c r="DP40" s="55"/>
      <c r="DQ40" s="55"/>
      <c r="DR40" s="55"/>
      <c r="DS40" s="55"/>
      <c r="DT40" s="55"/>
      <c r="DU40" s="55"/>
      <c r="DV40" s="55"/>
      <c r="DW40" s="55"/>
      <c r="DX40" s="55"/>
      <c r="DY40" s="55"/>
      <c r="DZ40" s="55"/>
      <c r="EA40" s="55"/>
      <c r="EB40" s="55"/>
      <c r="EC40" s="55"/>
      <c r="ED40" s="55"/>
      <c r="EE40" s="55"/>
      <c r="EF40" s="55"/>
      <c r="EG40" s="55"/>
      <c r="EH40" s="55"/>
      <c r="EI40" s="55"/>
      <c r="EJ40" s="55"/>
      <c r="EK40" s="55"/>
      <c r="EL40" s="55"/>
      <c r="EM40" s="55"/>
      <c r="EN40" s="55"/>
      <c r="EO40" s="55"/>
      <c r="EP40" s="55"/>
      <c r="EQ40" s="55"/>
      <c r="ER40" s="55"/>
      <c r="ES40" s="55"/>
      <c r="ET40" s="55"/>
      <c r="EU40" s="55"/>
      <c r="EV40" s="55"/>
      <c r="EW40" s="55"/>
      <c r="EX40" s="55"/>
      <c r="EY40" s="55"/>
      <c r="EZ40" s="55"/>
      <c r="FA40" s="55"/>
      <c r="FB40" s="55"/>
      <c r="FC40" s="55"/>
      <c r="FD40" s="55"/>
      <c r="FE40" s="55"/>
      <c r="FF40" s="55"/>
      <c r="FG40" s="55"/>
      <c r="FH40" s="55"/>
      <c r="FI40" s="55"/>
      <c r="FJ40" s="55"/>
      <c r="FK40" s="55"/>
      <c r="FL40" s="55"/>
      <c r="FM40" s="55"/>
      <c r="FN40" s="55"/>
      <c r="FO40" s="55"/>
      <c r="FP40" s="55"/>
      <c r="FQ40" s="55"/>
      <c r="FR40" s="55"/>
      <c r="FS40" s="55"/>
      <c r="FT40" s="55"/>
      <c r="FU40" s="55"/>
      <c r="FV40" s="55"/>
      <c r="FW40" s="55"/>
      <c r="FX40" s="55"/>
      <c r="FY40" s="55"/>
      <c r="FZ40" s="55"/>
      <c r="GA40" s="55"/>
      <c r="GB40" s="55"/>
      <c r="GC40" s="55"/>
      <c r="GD40" s="55"/>
      <c r="GE40" s="55"/>
      <c r="GF40" s="55"/>
      <c r="GG40" s="55"/>
      <c r="GH40" s="55"/>
      <c r="GI40" s="55"/>
      <c r="GJ40" s="55"/>
      <c r="GK40" s="55"/>
      <c r="GL40" s="55"/>
      <c r="GM40" s="55"/>
      <c r="GN40" s="55"/>
      <c r="GO40" s="55"/>
      <c r="GP40" s="55"/>
      <c r="GQ40" s="55"/>
      <c r="GR40" s="55"/>
      <c r="GS40" s="55"/>
      <c r="GT40" s="55"/>
      <c r="GU40" s="55"/>
      <c r="GV40" s="55"/>
      <c r="GW40" s="55"/>
      <c r="GX40" s="55"/>
      <c r="GY40" s="55"/>
      <c r="GZ40" s="55"/>
      <c r="HA40" s="55"/>
      <c r="HB40" s="55"/>
      <c r="HC40" s="55"/>
      <c r="HD40" s="55"/>
      <c r="HE40" s="55"/>
      <c r="HF40" s="55"/>
      <c r="HG40" s="55"/>
      <c r="HH40" s="55"/>
      <c r="HI40" s="55"/>
      <c r="HJ40" s="55"/>
      <c r="HK40" s="55"/>
      <c r="HL40" s="55"/>
      <c r="HM40" s="55"/>
      <c r="HN40" s="55"/>
    </row>
    <row r="41" spans="1:222">
      <c r="A41" s="55"/>
      <c r="B41" s="56"/>
      <c r="C41" s="125" t="s">
        <v>134</v>
      </c>
      <c r="D41" s="56"/>
      <c r="E41" s="56"/>
      <c r="F41" s="36">
        <v>20705</v>
      </c>
      <c r="G41" s="36">
        <v>21582</v>
      </c>
      <c r="H41" s="242">
        <f>G41+IS!H30</f>
        <v>22748.733326720001</v>
      </c>
      <c r="I41" s="242">
        <f>H41+IS!I30</f>
        <v>23962.155541241602</v>
      </c>
      <c r="J41" s="242">
        <f>I41+IS!J30</f>
        <v>25230.986443822851</v>
      </c>
      <c r="K41" s="242">
        <f>J41+IS!K30</f>
        <v>26565.261410916257</v>
      </c>
      <c r="L41" s="242">
        <f>K41+IS!L30</f>
        <v>27968.339610042683</v>
      </c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55"/>
      <c r="BJ41" s="55"/>
      <c r="BK41" s="55"/>
      <c r="BL41" s="55"/>
      <c r="BM41" s="55"/>
      <c r="BN41" s="55"/>
      <c r="BO41" s="55"/>
      <c r="BP41" s="55"/>
      <c r="BQ41" s="55"/>
      <c r="BR41" s="55"/>
      <c r="BS41" s="55"/>
      <c r="BT41" s="55"/>
      <c r="BU41" s="55"/>
      <c r="BV41" s="55"/>
      <c r="BW41" s="55"/>
      <c r="BX41" s="55"/>
      <c r="BY41" s="55"/>
      <c r="BZ41" s="55"/>
      <c r="CA41" s="55"/>
      <c r="CB41" s="55"/>
      <c r="CC41" s="55"/>
      <c r="CD41" s="55"/>
      <c r="CE41" s="55"/>
      <c r="CF41" s="55"/>
      <c r="CG41" s="55"/>
      <c r="CH41" s="55"/>
      <c r="CI41" s="55"/>
      <c r="CJ41" s="55"/>
      <c r="CK41" s="55"/>
      <c r="CL41" s="55"/>
      <c r="CM41" s="55"/>
      <c r="CN41" s="55"/>
      <c r="CO41" s="55"/>
      <c r="CP41" s="55"/>
      <c r="CQ41" s="55"/>
      <c r="CR41" s="55"/>
      <c r="CS41" s="55"/>
      <c r="CT41" s="55"/>
      <c r="CU41" s="55"/>
      <c r="CV41" s="55"/>
      <c r="CW41" s="55"/>
      <c r="CX41" s="55"/>
      <c r="CY41" s="55"/>
      <c r="CZ41" s="55"/>
      <c r="DA41" s="55"/>
      <c r="DB41" s="55"/>
      <c r="DC41" s="55"/>
      <c r="DD41" s="55"/>
      <c r="DE41" s="55"/>
      <c r="DF41" s="55"/>
      <c r="DG41" s="55"/>
      <c r="DH41" s="55"/>
      <c r="DI41" s="55"/>
      <c r="DJ41" s="55"/>
      <c r="DK41" s="55"/>
      <c r="DL41" s="55"/>
      <c r="DM41" s="55"/>
      <c r="DN41" s="55"/>
      <c r="DO41" s="55"/>
      <c r="DP41" s="55"/>
      <c r="DQ41" s="55"/>
      <c r="DR41" s="55"/>
      <c r="DS41" s="55"/>
      <c r="DT41" s="55"/>
      <c r="DU41" s="55"/>
      <c r="DV41" s="55"/>
      <c r="DW41" s="55"/>
      <c r="DX41" s="55"/>
      <c r="DY41" s="55"/>
      <c r="DZ41" s="55"/>
      <c r="EA41" s="55"/>
      <c r="EB41" s="55"/>
      <c r="EC41" s="55"/>
      <c r="ED41" s="55"/>
      <c r="EE41" s="55"/>
      <c r="EF41" s="55"/>
      <c r="EG41" s="55"/>
      <c r="EH41" s="55"/>
      <c r="EI41" s="55"/>
      <c r="EJ41" s="55"/>
      <c r="EK41" s="55"/>
      <c r="EL41" s="55"/>
      <c r="EM41" s="55"/>
      <c r="EN41" s="55"/>
      <c r="EO41" s="55"/>
      <c r="EP41" s="55"/>
      <c r="EQ41" s="55"/>
      <c r="ER41" s="55"/>
      <c r="ES41" s="55"/>
      <c r="ET41" s="55"/>
      <c r="EU41" s="55"/>
      <c r="EV41" s="55"/>
      <c r="EW41" s="55"/>
      <c r="EX41" s="55"/>
      <c r="EY41" s="55"/>
      <c r="EZ41" s="55"/>
      <c r="FA41" s="55"/>
      <c r="FB41" s="55"/>
      <c r="FC41" s="55"/>
      <c r="FD41" s="55"/>
      <c r="FE41" s="55"/>
      <c r="FF41" s="55"/>
      <c r="FG41" s="55"/>
      <c r="FH41" s="55"/>
      <c r="FI41" s="55"/>
      <c r="FJ41" s="55"/>
      <c r="FK41" s="55"/>
      <c r="FL41" s="55"/>
      <c r="FM41" s="55"/>
      <c r="FN41" s="55"/>
      <c r="FO41" s="55"/>
      <c r="FP41" s="55"/>
      <c r="FQ41" s="55"/>
      <c r="FR41" s="55"/>
      <c r="FS41" s="55"/>
      <c r="FT41" s="55"/>
      <c r="FU41" s="55"/>
      <c r="FV41" s="55"/>
      <c r="FW41" s="55"/>
      <c r="FX41" s="55"/>
      <c r="FY41" s="55"/>
      <c r="FZ41" s="55"/>
      <c r="GA41" s="55"/>
      <c r="GB41" s="55"/>
      <c r="GC41" s="55"/>
      <c r="GD41" s="55"/>
      <c r="GE41" s="55"/>
      <c r="GF41" s="55"/>
      <c r="GG41" s="55"/>
      <c r="GH41" s="55"/>
      <c r="GI41" s="55"/>
      <c r="GJ41" s="55"/>
      <c r="GK41" s="55"/>
      <c r="GL41" s="55"/>
      <c r="GM41" s="55"/>
      <c r="GN41" s="55"/>
      <c r="GO41" s="55"/>
      <c r="GP41" s="55"/>
      <c r="GQ41" s="55"/>
      <c r="GR41" s="55"/>
      <c r="GS41" s="55"/>
      <c r="GT41" s="55"/>
      <c r="GU41" s="55"/>
      <c r="GV41" s="55"/>
      <c r="GW41" s="55"/>
      <c r="GX41" s="55"/>
      <c r="GY41" s="55"/>
      <c r="GZ41" s="55"/>
      <c r="HA41" s="55"/>
      <c r="HB41" s="55"/>
      <c r="HC41" s="55"/>
      <c r="HD41" s="55"/>
      <c r="HE41" s="55"/>
      <c r="HF41" s="55"/>
      <c r="HG41" s="55"/>
      <c r="HH41" s="55"/>
      <c r="HI41" s="55"/>
      <c r="HJ41" s="55"/>
      <c r="HK41" s="55"/>
      <c r="HL41" s="55"/>
      <c r="HM41" s="55"/>
      <c r="HN41" s="55"/>
    </row>
    <row r="42" spans="1:222">
      <c r="A42" s="55"/>
      <c r="B42" s="56"/>
      <c r="C42" s="125" t="s">
        <v>117</v>
      </c>
      <c r="D42" s="56"/>
      <c r="E42" s="56"/>
      <c r="F42" s="36">
        <v>27347</v>
      </c>
      <c r="G42" s="36">
        <v>32470</v>
      </c>
      <c r="H42" s="99">
        <f>'Equity Schedule'!H19</f>
        <v>37258.042347283888</v>
      </c>
      <c r="I42" s="99">
        <f>'Equity Schedule'!I19</f>
        <v>42007.325847649357</v>
      </c>
      <c r="J42" s="99">
        <f>'Equity Schedule'!J19</f>
        <v>46863.512202065118</v>
      </c>
      <c r="K42" s="99">
        <f>'Equity Schedule'!K19</f>
        <v>51993.158457509526</v>
      </c>
      <c r="L42" s="99">
        <f>'Equity Schedule'!L19</f>
        <v>57422.589721365352</v>
      </c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55"/>
      <c r="BM42" s="55"/>
      <c r="BN42" s="55"/>
      <c r="BO42" s="55"/>
      <c r="BP42" s="55"/>
      <c r="BQ42" s="55"/>
      <c r="BR42" s="55"/>
      <c r="BS42" s="55"/>
      <c r="BT42" s="55"/>
      <c r="BU42" s="55"/>
      <c r="BV42" s="55"/>
      <c r="BW42" s="55"/>
      <c r="BX42" s="55"/>
      <c r="BY42" s="55"/>
      <c r="BZ42" s="55"/>
      <c r="CA42" s="55"/>
      <c r="CB42" s="55"/>
      <c r="CC42" s="55"/>
      <c r="CD42" s="55"/>
      <c r="CE42" s="55"/>
      <c r="CF42" s="55"/>
      <c r="CG42" s="55"/>
      <c r="CH42" s="55"/>
      <c r="CI42" s="55"/>
      <c r="CJ42" s="55"/>
      <c r="CK42" s="55"/>
      <c r="CL42" s="55"/>
      <c r="CM42" s="55"/>
      <c r="CN42" s="55"/>
      <c r="CO42" s="55"/>
      <c r="CP42" s="55"/>
      <c r="CQ42" s="55"/>
      <c r="CR42" s="55"/>
      <c r="CS42" s="55"/>
      <c r="CT42" s="55"/>
      <c r="CU42" s="55"/>
      <c r="CV42" s="55"/>
      <c r="CW42" s="55"/>
      <c r="CX42" s="55"/>
      <c r="CY42" s="55"/>
      <c r="CZ42" s="55"/>
      <c r="DA42" s="55"/>
      <c r="DB42" s="55"/>
      <c r="DC42" s="55"/>
      <c r="DD42" s="55"/>
      <c r="DE42" s="55"/>
      <c r="DF42" s="55"/>
      <c r="DG42" s="55"/>
      <c r="DH42" s="55"/>
      <c r="DI42" s="55"/>
      <c r="DJ42" s="55"/>
      <c r="DK42" s="55"/>
      <c r="DL42" s="55"/>
      <c r="DM42" s="55"/>
      <c r="DN42" s="55"/>
      <c r="DO42" s="55"/>
      <c r="DP42" s="55"/>
      <c r="DQ42" s="55"/>
      <c r="DR42" s="55"/>
      <c r="DS42" s="55"/>
      <c r="DT42" s="55"/>
      <c r="DU42" s="55"/>
      <c r="DV42" s="55"/>
      <c r="DW42" s="55"/>
      <c r="DX42" s="55"/>
      <c r="DY42" s="55"/>
      <c r="DZ42" s="55"/>
      <c r="EA42" s="55"/>
      <c r="EB42" s="55"/>
      <c r="EC42" s="55"/>
      <c r="ED42" s="55"/>
      <c r="EE42" s="55"/>
      <c r="EF42" s="55"/>
      <c r="EG42" s="55"/>
      <c r="EH42" s="55"/>
      <c r="EI42" s="55"/>
      <c r="EJ42" s="55"/>
      <c r="EK42" s="55"/>
      <c r="EL42" s="55"/>
      <c r="EM42" s="55"/>
      <c r="EN42" s="55"/>
      <c r="EO42" s="55"/>
      <c r="EP42" s="55"/>
      <c r="EQ42" s="55"/>
      <c r="ER42" s="55"/>
      <c r="ES42" s="55"/>
      <c r="ET42" s="55"/>
      <c r="EU42" s="55"/>
      <c r="EV42" s="55"/>
      <c r="EW42" s="55"/>
      <c r="EX42" s="55"/>
      <c r="EY42" s="55"/>
      <c r="EZ42" s="55"/>
      <c r="FA42" s="55"/>
      <c r="FB42" s="55"/>
      <c r="FC42" s="55"/>
      <c r="FD42" s="55"/>
      <c r="FE42" s="55"/>
      <c r="FF42" s="55"/>
      <c r="FG42" s="55"/>
      <c r="FH42" s="55"/>
      <c r="FI42" s="55"/>
      <c r="FJ42" s="55"/>
      <c r="FK42" s="55"/>
      <c r="FL42" s="55"/>
      <c r="FM42" s="55"/>
      <c r="FN42" s="55"/>
      <c r="FO42" s="55"/>
      <c r="FP42" s="55"/>
      <c r="FQ42" s="55"/>
      <c r="FR42" s="55"/>
      <c r="FS42" s="55"/>
      <c r="FT42" s="55"/>
      <c r="FU42" s="55"/>
      <c r="FV42" s="55"/>
      <c r="FW42" s="55"/>
      <c r="FX42" s="55"/>
      <c r="FY42" s="55"/>
      <c r="FZ42" s="55"/>
      <c r="GA42" s="55"/>
      <c r="GB42" s="55"/>
      <c r="GC42" s="55"/>
      <c r="GD42" s="55"/>
      <c r="GE42" s="55"/>
      <c r="GF42" s="55"/>
      <c r="GG42" s="55"/>
      <c r="GH42" s="55"/>
      <c r="GI42" s="55"/>
      <c r="GJ42" s="55"/>
      <c r="GK42" s="55"/>
      <c r="GL42" s="55"/>
      <c r="GM42" s="55"/>
      <c r="GN42" s="55"/>
      <c r="GO42" s="55"/>
      <c r="GP42" s="55"/>
      <c r="GQ42" s="55"/>
      <c r="GR42" s="55"/>
      <c r="GS42" s="55"/>
      <c r="GT42" s="55"/>
      <c r="GU42" s="55"/>
      <c r="GV42" s="55"/>
      <c r="GW42" s="55"/>
      <c r="GX42" s="55"/>
      <c r="GY42" s="55"/>
      <c r="GZ42" s="55"/>
      <c r="HA42" s="55"/>
      <c r="HB42" s="55"/>
      <c r="HC42" s="55"/>
      <c r="HD42" s="55"/>
      <c r="HE42" s="55"/>
      <c r="HF42" s="55"/>
      <c r="HG42" s="55"/>
      <c r="HH42" s="55"/>
      <c r="HI42" s="55"/>
      <c r="HJ42" s="55"/>
      <c r="HK42" s="55"/>
      <c r="HL42" s="55"/>
      <c r="HM42" s="55"/>
      <c r="HN42" s="55"/>
    </row>
    <row r="43" spans="1:222">
      <c r="A43" s="55"/>
      <c r="B43" s="56"/>
      <c r="C43" s="125" t="s">
        <v>135</v>
      </c>
      <c r="D43" s="56"/>
      <c r="E43" s="56"/>
      <c r="F43" s="163">
        <v>-550</v>
      </c>
      <c r="G43" s="163">
        <v>-658</v>
      </c>
      <c r="H43" s="228">
        <f>G43</f>
        <v>-658</v>
      </c>
      <c r="I43" s="228">
        <f t="shared" ref="I43:L43" si="8">H43</f>
        <v>-658</v>
      </c>
      <c r="J43" s="228">
        <f t="shared" si="8"/>
        <v>-658</v>
      </c>
      <c r="K43" s="228">
        <f t="shared" si="8"/>
        <v>-658</v>
      </c>
      <c r="L43" s="228">
        <f t="shared" si="8"/>
        <v>-658</v>
      </c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  <c r="BG43" s="55"/>
      <c r="BH43" s="55"/>
      <c r="BI43" s="55"/>
      <c r="BJ43" s="55"/>
      <c r="BK43" s="55"/>
      <c r="BL43" s="55"/>
      <c r="BM43" s="55"/>
      <c r="BN43" s="55"/>
      <c r="BO43" s="55"/>
      <c r="BP43" s="55"/>
      <c r="BQ43" s="55"/>
      <c r="BR43" s="55"/>
      <c r="BS43" s="55"/>
      <c r="BT43" s="55"/>
      <c r="BU43" s="55"/>
      <c r="BV43" s="55"/>
      <c r="BW43" s="55"/>
      <c r="BX43" s="55"/>
      <c r="BY43" s="55"/>
      <c r="BZ43" s="55"/>
      <c r="CA43" s="55"/>
      <c r="CB43" s="55"/>
      <c r="CC43" s="55"/>
      <c r="CD43" s="55"/>
      <c r="CE43" s="55"/>
      <c r="CF43" s="55"/>
      <c r="CG43" s="55"/>
      <c r="CH43" s="55"/>
      <c r="CI43" s="55"/>
      <c r="CJ43" s="55"/>
      <c r="CK43" s="55"/>
      <c r="CL43" s="55"/>
      <c r="CM43" s="55"/>
      <c r="CN43" s="55"/>
      <c r="CO43" s="55"/>
      <c r="CP43" s="55"/>
      <c r="CQ43" s="55"/>
      <c r="CR43" s="55"/>
      <c r="CS43" s="55"/>
      <c r="CT43" s="55"/>
      <c r="CU43" s="55"/>
      <c r="CV43" s="55"/>
      <c r="CW43" s="55"/>
      <c r="CX43" s="55"/>
      <c r="CY43" s="55"/>
      <c r="CZ43" s="55"/>
      <c r="DA43" s="55"/>
      <c r="DB43" s="55"/>
      <c r="DC43" s="55"/>
      <c r="DD43" s="55"/>
      <c r="DE43" s="55"/>
      <c r="DF43" s="55"/>
      <c r="DG43" s="55"/>
      <c r="DH43" s="55"/>
      <c r="DI43" s="55"/>
      <c r="DJ43" s="55"/>
      <c r="DK43" s="55"/>
      <c r="DL43" s="55"/>
      <c r="DM43" s="55"/>
      <c r="DN43" s="55"/>
      <c r="DO43" s="55"/>
      <c r="DP43" s="55"/>
      <c r="DQ43" s="55"/>
      <c r="DR43" s="55"/>
      <c r="DS43" s="55"/>
      <c r="DT43" s="55"/>
      <c r="DU43" s="55"/>
      <c r="DV43" s="55"/>
      <c r="DW43" s="55"/>
      <c r="DX43" s="55"/>
      <c r="DY43" s="55"/>
      <c r="DZ43" s="55"/>
      <c r="EA43" s="55"/>
      <c r="EB43" s="55"/>
      <c r="EC43" s="55"/>
      <c r="ED43" s="55"/>
      <c r="EE43" s="55"/>
      <c r="EF43" s="55"/>
      <c r="EG43" s="55"/>
      <c r="EH43" s="55"/>
      <c r="EI43" s="55"/>
      <c r="EJ43" s="55"/>
      <c r="EK43" s="55"/>
      <c r="EL43" s="55"/>
      <c r="EM43" s="55"/>
      <c r="EN43" s="55"/>
      <c r="EO43" s="55"/>
      <c r="EP43" s="55"/>
      <c r="EQ43" s="55"/>
      <c r="ER43" s="55"/>
      <c r="ES43" s="55"/>
      <c r="ET43" s="55"/>
      <c r="EU43" s="55"/>
      <c r="EV43" s="55"/>
      <c r="EW43" s="55"/>
      <c r="EX43" s="55"/>
      <c r="EY43" s="55"/>
      <c r="EZ43" s="55"/>
      <c r="FA43" s="55"/>
      <c r="FB43" s="55"/>
      <c r="FC43" s="55"/>
      <c r="FD43" s="55"/>
      <c r="FE43" s="55"/>
      <c r="FF43" s="55"/>
      <c r="FG43" s="55"/>
      <c r="FH43" s="55"/>
      <c r="FI43" s="55"/>
      <c r="FJ43" s="55"/>
      <c r="FK43" s="55"/>
      <c r="FL43" s="55"/>
      <c r="FM43" s="55"/>
      <c r="FN43" s="55"/>
      <c r="FO43" s="55"/>
      <c r="FP43" s="55"/>
      <c r="FQ43" s="55"/>
      <c r="FR43" s="55"/>
      <c r="FS43" s="55"/>
      <c r="FT43" s="55"/>
      <c r="FU43" s="55"/>
      <c r="FV43" s="55"/>
      <c r="FW43" s="55"/>
      <c r="FX43" s="55"/>
      <c r="FY43" s="55"/>
      <c r="FZ43" s="55"/>
      <c r="GA43" s="55"/>
      <c r="GB43" s="55"/>
      <c r="GC43" s="55"/>
      <c r="GD43" s="55"/>
      <c r="GE43" s="55"/>
      <c r="GF43" s="55"/>
      <c r="GG43" s="55"/>
      <c r="GH43" s="55"/>
      <c r="GI43" s="55"/>
      <c r="GJ43" s="55"/>
      <c r="GK43" s="55"/>
      <c r="GL43" s="55"/>
      <c r="GM43" s="55"/>
      <c r="GN43" s="55"/>
      <c r="GO43" s="55"/>
      <c r="GP43" s="55"/>
      <c r="GQ43" s="55"/>
      <c r="GR43" s="55"/>
      <c r="GS43" s="55"/>
      <c r="GT43" s="55"/>
      <c r="GU43" s="55"/>
      <c r="GV43" s="55"/>
      <c r="GW43" s="55"/>
      <c r="GX43" s="55"/>
      <c r="GY43" s="55"/>
      <c r="GZ43" s="55"/>
      <c r="HA43" s="55"/>
      <c r="HB43" s="55"/>
      <c r="HC43" s="55"/>
      <c r="HD43" s="55"/>
      <c r="HE43" s="55"/>
      <c r="HF43" s="55"/>
      <c r="HG43" s="55"/>
      <c r="HH43" s="55"/>
      <c r="HI43" s="55"/>
      <c r="HJ43" s="55"/>
      <c r="HK43" s="55"/>
      <c r="HL43" s="55"/>
      <c r="HM43" s="55"/>
      <c r="HN43" s="55"/>
    </row>
    <row r="44" spans="1:222">
      <c r="A44" s="55"/>
      <c r="B44" s="56"/>
      <c r="C44" s="227" t="s">
        <v>118</v>
      </c>
      <c r="D44" s="56"/>
      <c r="E44" s="56"/>
      <c r="F44" s="244">
        <f>SUM(F40:F43)</f>
        <v>20417</v>
      </c>
      <c r="G44" s="244">
        <f>SUM(G40:G43)</f>
        <v>20256</v>
      </c>
      <c r="H44" s="244">
        <f t="shared" ref="H44:L44" si="9">SUM(H40:H43)</f>
        <v>21210.775674003889</v>
      </c>
      <c r="I44" s="244">
        <f t="shared" si="9"/>
        <v>22173.481388890959</v>
      </c>
      <c r="J44" s="244">
        <f t="shared" si="9"/>
        <v>23298.498645887968</v>
      </c>
      <c r="K44" s="244">
        <f t="shared" si="9"/>
        <v>24762.419868425783</v>
      </c>
      <c r="L44" s="244">
        <f t="shared" si="9"/>
        <v>26594.929331408035</v>
      </c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  <c r="BG44" s="55"/>
      <c r="BH44" s="55"/>
      <c r="BI44" s="55"/>
      <c r="BJ44" s="55"/>
      <c r="BK44" s="55"/>
      <c r="BL44" s="55"/>
      <c r="BM44" s="55"/>
      <c r="BN44" s="55"/>
      <c r="BO44" s="55"/>
      <c r="BP44" s="55"/>
      <c r="BQ44" s="55"/>
      <c r="BR44" s="55"/>
      <c r="BS44" s="55"/>
      <c r="BT44" s="55"/>
      <c r="BU44" s="55"/>
      <c r="BV44" s="55"/>
      <c r="BW44" s="55"/>
      <c r="BX44" s="55"/>
      <c r="BY44" s="55"/>
      <c r="BZ44" s="55"/>
      <c r="CA44" s="55"/>
      <c r="CB44" s="55"/>
      <c r="CC44" s="55"/>
      <c r="CD44" s="55"/>
      <c r="CE44" s="55"/>
      <c r="CF44" s="55"/>
      <c r="CG44" s="55"/>
      <c r="CH44" s="55"/>
      <c r="CI44" s="55"/>
      <c r="CJ44" s="55"/>
      <c r="CK44" s="55"/>
      <c r="CL44" s="55"/>
      <c r="CM44" s="55"/>
      <c r="CN44" s="55"/>
      <c r="CO44" s="55"/>
      <c r="CP44" s="55"/>
      <c r="CQ44" s="55"/>
      <c r="CR44" s="55"/>
      <c r="CS44" s="55"/>
      <c r="CT44" s="55"/>
      <c r="CU44" s="55"/>
      <c r="CV44" s="55"/>
      <c r="CW44" s="55"/>
      <c r="CX44" s="55"/>
      <c r="CY44" s="55"/>
      <c r="CZ44" s="55"/>
      <c r="DA44" s="55"/>
      <c r="DB44" s="55"/>
      <c r="DC44" s="55"/>
      <c r="DD44" s="55"/>
      <c r="DE44" s="55"/>
      <c r="DF44" s="55"/>
      <c r="DG44" s="55"/>
      <c r="DH44" s="55"/>
      <c r="DI44" s="55"/>
      <c r="DJ44" s="55"/>
      <c r="DK44" s="55"/>
      <c r="DL44" s="55"/>
      <c r="DM44" s="55"/>
      <c r="DN44" s="55"/>
      <c r="DO44" s="55"/>
      <c r="DP44" s="55"/>
      <c r="DQ44" s="55"/>
      <c r="DR44" s="55"/>
      <c r="DS44" s="55"/>
      <c r="DT44" s="55"/>
      <c r="DU44" s="55"/>
      <c r="DV44" s="55"/>
      <c r="DW44" s="55"/>
      <c r="DX44" s="55"/>
      <c r="DY44" s="55"/>
      <c r="DZ44" s="55"/>
      <c r="EA44" s="55"/>
      <c r="EB44" s="55"/>
      <c r="EC44" s="55"/>
      <c r="ED44" s="55"/>
      <c r="EE44" s="55"/>
      <c r="EF44" s="55"/>
      <c r="EG44" s="55"/>
      <c r="EH44" s="55"/>
      <c r="EI44" s="55"/>
      <c r="EJ44" s="55"/>
      <c r="EK44" s="55"/>
      <c r="EL44" s="55"/>
      <c r="EM44" s="55"/>
      <c r="EN44" s="55"/>
      <c r="EO44" s="55"/>
      <c r="EP44" s="55"/>
      <c r="EQ44" s="55"/>
      <c r="ER44" s="55"/>
      <c r="ES44" s="55"/>
      <c r="ET44" s="55"/>
      <c r="EU44" s="55"/>
      <c r="EV44" s="55"/>
      <c r="EW44" s="55"/>
      <c r="EX44" s="55"/>
      <c r="EY44" s="55"/>
      <c r="EZ44" s="55"/>
      <c r="FA44" s="55"/>
      <c r="FB44" s="55"/>
      <c r="FC44" s="55"/>
      <c r="FD44" s="55"/>
      <c r="FE44" s="55"/>
      <c r="FF44" s="55"/>
      <c r="FG44" s="55"/>
      <c r="FH44" s="55"/>
      <c r="FI44" s="55"/>
      <c r="FJ44" s="55"/>
      <c r="FK44" s="55"/>
      <c r="FL44" s="55"/>
      <c r="FM44" s="55"/>
      <c r="FN44" s="55"/>
      <c r="FO44" s="55"/>
      <c r="FP44" s="55"/>
      <c r="FQ44" s="55"/>
      <c r="FR44" s="55"/>
      <c r="FS44" s="55"/>
      <c r="FT44" s="55"/>
      <c r="FU44" s="55"/>
      <c r="FV44" s="55"/>
      <c r="FW44" s="55"/>
      <c r="FX44" s="55"/>
      <c r="FY44" s="55"/>
      <c r="FZ44" s="55"/>
      <c r="GA44" s="55"/>
      <c r="GB44" s="55"/>
      <c r="GC44" s="55"/>
      <c r="GD44" s="55"/>
      <c r="GE44" s="55"/>
      <c r="GF44" s="55"/>
      <c r="GG44" s="55"/>
      <c r="GH44" s="55"/>
      <c r="GI44" s="55"/>
      <c r="GJ44" s="55"/>
      <c r="GK44" s="55"/>
      <c r="GL44" s="55"/>
      <c r="GM44" s="55"/>
      <c r="GN44" s="55"/>
      <c r="GO44" s="55"/>
      <c r="GP44" s="55"/>
      <c r="GQ44" s="55"/>
      <c r="GR44" s="55"/>
      <c r="GS44" s="55"/>
      <c r="GT44" s="55"/>
      <c r="GU44" s="55"/>
      <c r="GV44" s="55"/>
      <c r="GW44" s="55"/>
      <c r="GX44" s="55"/>
      <c r="GY44" s="55"/>
      <c r="GZ44" s="55"/>
      <c r="HA44" s="55"/>
      <c r="HB44" s="55"/>
      <c r="HC44" s="55"/>
      <c r="HD44" s="55"/>
      <c r="HE44" s="55"/>
      <c r="HF44" s="55"/>
      <c r="HG44" s="55"/>
      <c r="HH44" s="55"/>
      <c r="HI44" s="55"/>
      <c r="HJ44" s="55"/>
      <c r="HK44" s="55"/>
      <c r="HL44" s="55"/>
      <c r="HM44" s="55"/>
      <c r="HN44" s="55"/>
    </row>
    <row r="45" spans="1:222">
      <c r="A45" s="55"/>
      <c r="B45" s="56"/>
      <c r="C45" s="56"/>
      <c r="D45" s="56"/>
      <c r="E45" s="56"/>
      <c r="F45" s="98"/>
      <c r="G45" s="98"/>
      <c r="H45" s="98"/>
      <c r="I45" s="98"/>
      <c r="J45" s="98"/>
      <c r="K45" s="98"/>
      <c r="L45" s="98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55"/>
      <c r="BJ45" s="55"/>
      <c r="BK45" s="55"/>
      <c r="BL45" s="55"/>
      <c r="BM45" s="55"/>
      <c r="BN45" s="55"/>
      <c r="BO45" s="55"/>
      <c r="BP45" s="55"/>
      <c r="BQ45" s="55"/>
      <c r="BR45" s="55"/>
      <c r="BS45" s="55"/>
      <c r="BT45" s="55"/>
      <c r="BU45" s="55"/>
      <c r="BV45" s="55"/>
      <c r="BW45" s="55"/>
      <c r="BX45" s="55"/>
      <c r="BY45" s="55"/>
      <c r="BZ45" s="55"/>
      <c r="CA45" s="55"/>
      <c r="CB45" s="55"/>
      <c r="CC45" s="55"/>
      <c r="CD45" s="55"/>
      <c r="CE45" s="55"/>
      <c r="CF45" s="55"/>
      <c r="CG45" s="55"/>
      <c r="CH45" s="55"/>
      <c r="CI45" s="55"/>
      <c r="CJ45" s="55"/>
      <c r="CK45" s="55"/>
      <c r="CL45" s="55"/>
      <c r="CM45" s="55"/>
      <c r="CN45" s="55"/>
      <c r="CO45" s="55"/>
      <c r="CP45" s="55"/>
      <c r="CQ45" s="55"/>
      <c r="CR45" s="55"/>
      <c r="CS45" s="55"/>
      <c r="CT45" s="55"/>
      <c r="CU45" s="55"/>
      <c r="CV45" s="55"/>
      <c r="CW45" s="55"/>
      <c r="CX45" s="55"/>
      <c r="CY45" s="55"/>
      <c r="CZ45" s="55"/>
      <c r="DA45" s="55"/>
      <c r="DB45" s="55"/>
      <c r="DC45" s="55"/>
      <c r="DD45" s="55"/>
      <c r="DE45" s="55"/>
      <c r="DF45" s="55"/>
      <c r="DG45" s="55"/>
      <c r="DH45" s="55"/>
      <c r="DI45" s="55"/>
      <c r="DJ45" s="55"/>
      <c r="DK45" s="55"/>
      <c r="DL45" s="55"/>
      <c r="DM45" s="55"/>
      <c r="DN45" s="55"/>
      <c r="DO45" s="55"/>
      <c r="DP45" s="55"/>
      <c r="DQ45" s="55"/>
      <c r="DR45" s="55"/>
      <c r="DS45" s="55"/>
      <c r="DT45" s="55"/>
      <c r="DU45" s="55"/>
      <c r="DV45" s="55"/>
      <c r="DW45" s="55"/>
      <c r="DX45" s="55"/>
      <c r="DY45" s="55"/>
      <c r="DZ45" s="55"/>
      <c r="EA45" s="55"/>
      <c r="EB45" s="55"/>
      <c r="EC45" s="55"/>
      <c r="ED45" s="55"/>
      <c r="EE45" s="55"/>
      <c r="EF45" s="55"/>
      <c r="EG45" s="55"/>
      <c r="EH45" s="55"/>
      <c r="EI45" s="55"/>
      <c r="EJ45" s="55"/>
      <c r="EK45" s="55"/>
      <c r="EL45" s="55"/>
      <c r="EM45" s="55"/>
      <c r="EN45" s="55"/>
      <c r="EO45" s="55"/>
      <c r="EP45" s="55"/>
      <c r="EQ45" s="55"/>
      <c r="ER45" s="55"/>
      <c r="ES45" s="55"/>
      <c r="ET45" s="55"/>
      <c r="EU45" s="55"/>
      <c r="EV45" s="55"/>
      <c r="EW45" s="55"/>
      <c r="EX45" s="55"/>
      <c r="EY45" s="55"/>
      <c r="EZ45" s="55"/>
      <c r="FA45" s="55"/>
      <c r="FB45" s="55"/>
      <c r="FC45" s="55"/>
      <c r="FD45" s="55"/>
      <c r="FE45" s="55"/>
      <c r="FF45" s="55"/>
      <c r="FG45" s="55"/>
      <c r="FH45" s="55"/>
      <c r="FI45" s="55"/>
      <c r="FJ45" s="55"/>
      <c r="FK45" s="55"/>
      <c r="FL45" s="55"/>
      <c r="FM45" s="55"/>
      <c r="FN45" s="55"/>
      <c r="FO45" s="55"/>
      <c r="FP45" s="55"/>
      <c r="FQ45" s="55"/>
      <c r="FR45" s="55"/>
      <c r="FS45" s="55"/>
      <c r="FT45" s="55"/>
      <c r="FU45" s="55"/>
      <c r="FV45" s="55"/>
      <c r="FW45" s="55"/>
      <c r="FX45" s="55"/>
      <c r="FY45" s="55"/>
      <c r="FZ45" s="55"/>
      <c r="GA45" s="55"/>
      <c r="GB45" s="55"/>
      <c r="GC45" s="55"/>
      <c r="GD45" s="55"/>
      <c r="GE45" s="55"/>
      <c r="GF45" s="55"/>
      <c r="GG45" s="55"/>
      <c r="GH45" s="55"/>
      <c r="GI45" s="55"/>
      <c r="GJ45" s="55"/>
      <c r="GK45" s="55"/>
      <c r="GL45" s="55"/>
      <c r="GM45" s="55"/>
      <c r="GN45" s="55"/>
      <c r="GO45" s="55"/>
      <c r="GP45" s="55"/>
      <c r="GQ45" s="55"/>
      <c r="GR45" s="55"/>
      <c r="GS45" s="55"/>
      <c r="GT45" s="55"/>
      <c r="GU45" s="55"/>
      <c r="GV45" s="55"/>
      <c r="GW45" s="55"/>
      <c r="GX45" s="55"/>
      <c r="GY45" s="55"/>
      <c r="GZ45" s="55"/>
      <c r="HA45" s="55"/>
      <c r="HB45" s="55"/>
      <c r="HC45" s="55"/>
      <c r="HD45" s="55"/>
      <c r="HE45" s="55"/>
      <c r="HF45" s="55"/>
      <c r="HG45" s="55"/>
      <c r="HH45" s="55"/>
      <c r="HI45" s="55"/>
      <c r="HJ45" s="55"/>
      <c r="HK45" s="55"/>
      <c r="HL45" s="55"/>
      <c r="HM45" s="55"/>
      <c r="HN45" s="55"/>
    </row>
    <row r="46" spans="1:222" ht="14.4" thickBot="1">
      <c r="A46" s="55"/>
      <c r="B46" s="227" t="s">
        <v>119</v>
      </c>
      <c r="C46" s="56"/>
      <c r="D46" s="56"/>
      <c r="E46" s="56"/>
      <c r="F46" s="919">
        <f t="shared" ref="F46:L46" si="10">F44+F38</f>
        <v>78725</v>
      </c>
      <c r="G46" s="919">
        <f t="shared" si="10"/>
        <v>80173</v>
      </c>
      <c r="H46" s="919">
        <f t="shared" si="10"/>
        <v>81588.73380891222</v>
      </c>
      <c r="I46" s="919">
        <f t="shared" si="10"/>
        <v>83660.237099047503</v>
      </c>
      <c r="J46" s="919">
        <f t="shared" si="10"/>
        <v>86160.590149932905</v>
      </c>
      <c r="K46" s="919">
        <f t="shared" si="10"/>
        <v>89061.525015882726</v>
      </c>
      <c r="L46" s="919">
        <f t="shared" si="10"/>
        <v>92970.241785977356</v>
      </c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/>
      <c r="BE46" s="55"/>
      <c r="BF46" s="55"/>
      <c r="BG46" s="55"/>
      <c r="BH46" s="55"/>
      <c r="BI46" s="55"/>
      <c r="BJ46" s="55"/>
      <c r="BK46" s="55"/>
      <c r="BL46" s="55"/>
      <c r="BM46" s="55"/>
      <c r="BN46" s="55"/>
      <c r="BO46" s="55"/>
      <c r="BP46" s="55"/>
      <c r="BQ46" s="55"/>
      <c r="BR46" s="55"/>
      <c r="BS46" s="55"/>
      <c r="BT46" s="55"/>
      <c r="BU46" s="55"/>
      <c r="BV46" s="55"/>
      <c r="BW46" s="55"/>
      <c r="BX46" s="55"/>
      <c r="BY46" s="55"/>
      <c r="BZ46" s="55"/>
      <c r="CA46" s="55"/>
      <c r="CB46" s="55"/>
      <c r="CC46" s="55"/>
      <c r="CD46" s="55"/>
      <c r="CE46" s="55"/>
      <c r="CF46" s="55"/>
      <c r="CG46" s="55"/>
      <c r="CH46" s="55"/>
      <c r="CI46" s="55"/>
      <c r="CJ46" s="55"/>
      <c r="CK46" s="55"/>
      <c r="CL46" s="55"/>
      <c r="CM46" s="55"/>
      <c r="CN46" s="55"/>
      <c r="CO46" s="55"/>
      <c r="CP46" s="55"/>
      <c r="CQ46" s="55"/>
      <c r="CR46" s="55"/>
      <c r="CS46" s="55"/>
      <c r="CT46" s="55"/>
      <c r="CU46" s="55"/>
      <c r="CV46" s="55"/>
      <c r="CW46" s="55"/>
      <c r="CX46" s="55"/>
      <c r="CY46" s="55"/>
      <c r="CZ46" s="55"/>
      <c r="DA46" s="55"/>
      <c r="DB46" s="55"/>
      <c r="DC46" s="55"/>
      <c r="DD46" s="55"/>
      <c r="DE46" s="55"/>
      <c r="DF46" s="55"/>
      <c r="DG46" s="55"/>
      <c r="DH46" s="55"/>
      <c r="DI46" s="55"/>
      <c r="DJ46" s="55"/>
      <c r="DK46" s="55"/>
      <c r="DL46" s="55"/>
      <c r="DM46" s="55"/>
      <c r="DN46" s="55"/>
      <c r="DO46" s="55"/>
      <c r="DP46" s="55"/>
      <c r="DQ46" s="55"/>
      <c r="DR46" s="55"/>
      <c r="DS46" s="55"/>
      <c r="DT46" s="55"/>
      <c r="DU46" s="55"/>
      <c r="DV46" s="55"/>
      <c r="DW46" s="55"/>
      <c r="DX46" s="55"/>
      <c r="DY46" s="55"/>
      <c r="DZ46" s="55"/>
      <c r="EA46" s="55"/>
      <c r="EB46" s="55"/>
      <c r="EC46" s="55"/>
      <c r="ED46" s="55"/>
      <c r="EE46" s="55"/>
      <c r="EF46" s="55"/>
      <c r="EG46" s="55"/>
      <c r="EH46" s="55"/>
      <c r="EI46" s="55"/>
      <c r="EJ46" s="55"/>
      <c r="EK46" s="55"/>
      <c r="EL46" s="55"/>
      <c r="EM46" s="55"/>
      <c r="EN46" s="55"/>
      <c r="EO46" s="55"/>
      <c r="EP46" s="55"/>
      <c r="EQ46" s="55"/>
      <c r="ER46" s="55"/>
      <c r="ES46" s="55"/>
      <c r="ET46" s="55"/>
      <c r="EU46" s="55"/>
      <c r="EV46" s="55"/>
      <c r="EW46" s="55"/>
      <c r="EX46" s="55"/>
      <c r="EY46" s="55"/>
      <c r="EZ46" s="55"/>
      <c r="FA46" s="55"/>
      <c r="FB46" s="55"/>
      <c r="FC46" s="55"/>
      <c r="FD46" s="55"/>
      <c r="FE46" s="55"/>
      <c r="FF46" s="55"/>
      <c r="FG46" s="55"/>
      <c r="FH46" s="55"/>
      <c r="FI46" s="55"/>
      <c r="FJ46" s="55"/>
      <c r="FK46" s="55"/>
      <c r="FL46" s="55"/>
      <c r="FM46" s="55"/>
      <c r="FN46" s="55"/>
      <c r="FO46" s="55"/>
      <c r="FP46" s="55"/>
      <c r="FQ46" s="55"/>
      <c r="FR46" s="55"/>
      <c r="FS46" s="55"/>
      <c r="FT46" s="55"/>
      <c r="FU46" s="55"/>
      <c r="FV46" s="55"/>
      <c r="FW46" s="55"/>
      <c r="FX46" s="55"/>
      <c r="FY46" s="55"/>
      <c r="FZ46" s="55"/>
      <c r="GA46" s="55"/>
      <c r="GB46" s="55"/>
      <c r="GC46" s="55"/>
      <c r="GD46" s="55"/>
      <c r="GE46" s="55"/>
      <c r="GF46" s="55"/>
      <c r="GG46" s="55"/>
      <c r="GH46" s="55"/>
      <c r="GI46" s="55"/>
      <c r="GJ46" s="55"/>
      <c r="GK46" s="55"/>
      <c r="GL46" s="55"/>
      <c r="GM46" s="55"/>
      <c r="GN46" s="55"/>
      <c r="GO46" s="55"/>
      <c r="GP46" s="55"/>
      <c r="GQ46" s="55"/>
      <c r="GR46" s="55"/>
      <c r="GS46" s="55"/>
      <c r="GT46" s="55"/>
      <c r="GU46" s="55"/>
      <c r="GV46" s="55"/>
      <c r="GW46" s="55"/>
      <c r="GX46" s="55"/>
      <c r="GY46" s="55"/>
      <c r="GZ46" s="55"/>
      <c r="HA46" s="55"/>
      <c r="HB46" s="55"/>
      <c r="HC46" s="55"/>
      <c r="HD46" s="55"/>
      <c r="HE46" s="55"/>
      <c r="HF46" s="55"/>
      <c r="HG46" s="55"/>
      <c r="HH46" s="55"/>
      <c r="HI46" s="55"/>
      <c r="HJ46" s="55"/>
      <c r="HK46" s="55"/>
      <c r="HL46" s="55"/>
      <c r="HM46" s="55"/>
      <c r="HN46" s="55"/>
    </row>
    <row r="47" spans="1:222" ht="14.4" thickTop="1">
      <c r="A47" s="55"/>
      <c r="B47" s="56"/>
      <c r="C47" s="56"/>
      <c r="D47" s="56"/>
      <c r="E47" s="56"/>
      <c r="F47" s="101"/>
      <c r="G47" s="101"/>
      <c r="H47" s="101"/>
      <c r="I47" s="101"/>
      <c r="J47" s="101"/>
      <c r="K47" s="101"/>
      <c r="L47" s="101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55"/>
      <c r="BE47" s="55"/>
      <c r="BF47" s="55"/>
      <c r="BG47" s="55"/>
      <c r="BH47" s="55"/>
      <c r="BI47" s="55"/>
      <c r="BJ47" s="55"/>
      <c r="BK47" s="55"/>
      <c r="BL47" s="55"/>
      <c r="BM47" s="55"/>
      <c r="BN47" s="55"/>
      <c r="BO47" s="55"/>
      <c r="BP47" s="55"/>
      <c r="BQ47" s="55"/>
      <c r="BR47" s="55"/>
      <c r="BS47" s="55"/>
      <c r="BT47" s="55"/>
      <c r="BU47" s="55"/>
      <c r="BV47" s="55"/>
      <c r="BW47" s="55"/>
      <c r="BX47" s="55"/>
      <c r="BY47" s="55"/>
      <c r="BZ47" s="55"/>
      <c r="CA47" s="55"/>
      <c r="CB47" s="55"/>
      <c r="CC47" s="55"/>
      <c r="CD47" s="55"/>
      <c r="CE47" s="55"/>
      <c r="CF47" s="55"/>
      <c r="CG47" s="55"/>
      <c r="CH47" s="55"/>
      <c r="CI47" s="55"/>
      <c r="CJ47" s="55"/>
      <c r="CK47" s="55"/>
      <c r="CL47" s="55"/>
      <c r="CM47" s="55"/>
      <c r="CN47" s="55"/>
      <c r="CO47" s="55"/>
      <c r="CP47" s="55"/>
      <c r="CQ47" s="55"/>
      <c r="CR47" s="55"/>
      <c r="CS47" s="55"/>
      <c r="CT47" s="55"/>
      <c r="CU47" s="55"/>
      <c r="CV47" s="55"/>
      <c r="CW47" s="55"/>
      <c r="CX47" s="55"/>
      <c r="CY47" s="55"/>
      <c r="CZ47" s="55"/>
      <c r="DA47" s="55"/>
      <c r="DB47" s="55"/>
      <c r="DC47" s="55"/>
      <c r="DD47" s="55"/>
      <c r="DE47" s="55"/>
      <c r="DF47" s="55"/>
      <c r="DG47" s="55"/>
      <c r="DH47" s="55"/>
      <c r="DI47" s="55"/>
      <c r="DJ47" s="55"/>
      <c r="DK47" s="55"/>
      <c r="DL47" s="55"/>
      <c r="DM47" s="55"/>
      <c r="DN47" s="55"/>
      <c r="DO47" s="55"/>
      <c r="DP47" s="55"/>
      <c r="DQ47" s="55"/>
      <c r="DR47" s="55"/>
      <c r="DS47" s="55"/>
      <c r="DT47" s="55"/>
      <c r="DU47" s="55"/>
      <c r="DV47" s="55"/>
      <c r="DW47" s="55"/>
      <c r="DX47" s="55"/>
      <c r="DY47" s="55"/>
      <c r="DZ47" s="55"/>
      <c r="EA47" s="55"/>
      <c r="EB47" s="55"/>
      <c r="EC47" s="55"/>
      <c r="ED47" s="55"/>
      <c r="EE47" s="55"/>
      <c r="EF47" s="55"/>
      <c r="EG47" s="55"/>
      <c r="EH47" s="55"/>
      <c r="EI47" s="55"/>
      <c r="EJ47" s="55"/>
      <c r="EK47" s="55"/>
      <c r="EL47" s="55"/>
      <c r="EM47" s="55"/>
      <c r="EN47" s="55"/>
      <c r="EO47" s="55"/>
      <c r="EP47" s="55"/>
      <c r="EQ47" s="55"/>
      <c r="ER47" s="55"/>
      <c r="ES47" s="55"/>
      <c r="ET47" s="55"/>
      <c r="EU47" s="55"/>
      <c r="EV47" s="55"/>
      <c r="EW47" s="55"/>
      <c r="EX47" s="55"/>
      <c r="EY47" s="55"/>
      <c r="EZ47" s="55"/>
      <c r="FA47" s="55"/>
      <c r="FB47" s="55"/>
      <c r="FC47" s="55"/>
      <c r="FD47" s="55"/>
      <c r="FE47" s="55"/>
      <c r="FF47" s="55"/>
      <c r="FG47" s="55"/>
      <c r="FH47" s="55"/>
      <c r="FI47" s="55"/>
      <c r="FJ47" s="55"/>
      <c r="FK47" s="55"/>
      <c r="FL47" s="55"/>
      <c r="FM47" s="55"/>
      <c r="FN47" s="55"/>
      <c r="FO47" s="55"/>
      <c r="FP47" s="55"/>
      <c r="FQ47" s="55"/>
      <c r="FR47" s="55"/>
      <c r="FS47" s="55"/>
      <c r="FT47" s="55"/>
      <c r="FU47" s="55"/>
      <c r="FV47" s="55"/>
      <c r="FW47" s="55"/>
      <c r="FX47" s="55"/>
      <c r="FY47" s="55"/>
      <c r="FZ47" s="55"/>
      <c r="GA47" s="55"/>
      <c r="GB47" s="55"/>
      <c r="GC47" s="55"/>
      <c r="GD47" s="55"/>
      <c r="GE47" s="55"/>
      <c r="GF47" s="55"/>
      <c r="GG47" s="55"/>
      <c r="GH47" s="55"/>
      <c r="GI47" s="55"/>
      <c r="GJ47" s="55"/>
      <c r="GK47" s="55"/>
      <c r="GL47" s="55"/>
      <c r="GM47" s="55"/>
      <c r="GN47" s="55"/>
      <c r="GO47" s="55"/>
      <c r="GP47" s="55"/>
      <c r="GQ47" s="55"/>
      <c r="GR47" s="55"/>
      <c r="GS47" s="55"/>
      <c r="GT47" s="55"/>
      <c r="GU47" s="55"/>
      <c r="GV47" s="55"/>
      <c r="GW47" s="55"/>
      <c r="GX47" s="55"/>
      <c r="GY47" s="55"/>
      <c r="GZ47" s="55"/>
      <c r="HA47" s="55"/>
      <c r="HB47" s="55"/>
      <c r="HC47" s="55"/>
      <c r="HD47" s="55"/>
      <c r="HE47" s="55"/>
      <c r="HF47" s="55"/>
      <c r="HG47" s="55"/>
      <c r="HH47" s="55"/>
      <c r="HI47" s="55"/>
      <c r="HJ47" s="55"/>
      <c r="HK47" s="55"/>
      <c r="HL47" s="55"/>
      <c r="HM47" s="55"/>
      <c r="HN47" s="55"/>
    </row>
    <row r="48" spans="1:222">
      <c r="A48" s="55"/>
      <c r="B48" s="34"/>
      <c r="C48" s="56"/>
      <c r="D48" s="200" t="s">
        <v>120</v>
      </c>
      <c r="E48" s="56"/>
      <c r="F48" s="284">
        <f t="shared" ref="F48:L48" si="11">ROUND(F24-F46,3)</f>
        <v>0</v>
      </c>
      <c r="G48" s="284">
        <f t="shared" si="11"/>
        <v>0</v>
      </c>
      <c r="H48" s="284">
        <f t="shared" si="11"/>
        <v>0</v>
      </c>
      <c r="I48" s="284">
        <f t="shared" si="11"/>
        <v>0</v>
      </c>
      <c r="J48" s="284">
        <f t="shared" si="11"/>
        <v>0</v>
      </c>
      <c r="K48" s="284">
        <f t="shared" si="11"/>
        <v>0</v>
      </c>
      <c r="L48" s="284">
        <f t="shared" si="11"/>
        <v>0</v>
      </c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5"/>
      <c r="BK48" s="55"/>
      <c r="BL48" s="55"/>
      <c r="BM48" s="55"/>
      <c r="BN48" s="55"/>
      <c r="BO48" s="55"/>
      <c r="BP48" s="55"/>
      <c r="BQ48" s="55"/>
      <c r="BR48" s="55"/>
      <c r="BS48" s="55"/>
      <c r="BT48" s="55"/>
      <c r="BU48" s="55"/>
      <c r="BV48" s="55"/>
      <c r="BW48" s="55"/>
      <c r="BX48" s="55"/>
      <c r="BY48" s="55"/>
      <c r="BZ48" s="55"/>
      <c r="CA48" s="55"/>
      <c r="CB48" s="55"/>
      <c r="CC48" s="55"/>
      <c r="CD48" s="55"/>
      <c r="CE48" s="55"/>
      <c r="CF48" s="55"/>
      <c r="CG48" s="55"/>
      <c r="CH48" s="55"/>
      <c r="CI48" s="55"/>
      <c r="CJ48" s="55"/>
      <c r="CK48" s="55"/>
      <c r="CL48" s="55"/>
      <c r="CM48" s="55"/>
      <c r="CN48" s="55"/>
      <c r="CO48" s="55"/>
      <c r="CP48" s="55"/>
      <c r="CQ48" s="55"/>
      <c r="CR48" s="55"/>
      <c r="CS48" s="55"/>
      <c r="CT48" s="55"/>
      <c r="CU48" s="55"/>
      <c r="CV48" s="55"/>
      <c r="CW48" s="55"/>
      <c r="CX48" s="55"/>
      <c r="CY48" s="55"/>
      <c r="CZ48" s="55"/>
      <c r="DA48" s="55"/>
      <c r="DB48" s="55"/>
      <c r="DC48" s="55"/>
      <c r="DD48" s="55"/>
      <c r="DE48" s="55"/>
      <c r="DF48" s="55"/>
      <c r="DG48" s="55"/>
      <c r="DH48" s="55"/>
      <c r="DI48" s="55"/>
      <c r="DJ48" s="55"/>
      <c r="DK48" s="55"/>
      <c r="DL48" s="55"/>
      <c r="DM48" s="55"/>
      <c r="DN48" s="55"/>
      <c r="DO48" s="55"/>
      <c r="DP48" s="55"/>
      <c r="DQ48" s="55"/>
      <c r="DR48" s="55"/>
      <c r="DS48" s="55"/>
      <c r="DT48" s="55"/>
      <c r="DU48" s="55"/>
      <c r="DV48" s="55"/>
      <c r="DW48" s="55"/>
      <c r="DX48" s="55"/>
      <c r="DY48" s="55"/>
      <c r="DZ48" s="55"/>
      <c r="EA48" s="55"/>
      <c r="EB48" s="55"/>
      <c r="EC48" s="55"/>
      <c r="ED48" s="55"/>
      <c r="EE48" s="55"/>
      <c r="EF48" s="55"/>
      <c r="EG48" s="55"/>
      <c r="EH48" s="55"/>
      <c r="EI48" s="55"/>
      <c r="EJ48" s="55"/>
      <c r="EK48" s="55"/>
      <c r="EL48" s="55"/>
      <c r="EM48" s="55"/>
      <c r="EN48" s="55"/>
      <c r="EO48" s="55"/>
      <c r="EP48" s="55"/>
      <c r="EQ48" s="55"/>
      <c r="ER48" s="55"/>
      <c r="ES48" s="55"/>
      <c r="ET48" s="55"/>
      <c r="EU48" s="55"/>
      <c r="EV48" s="55"/>
      <c r="EW48" s="55"/>
      <c r="EX48" s="55"/>
      <c r="EY48" s="55"/>
      <c r="EZ48" s="55"/>
      <c r="FA48" s="55"/>
      <c r="FB48" s="55"/>
      <c r="FC48" s="55"/>
      <c r="FD48" s="55"/>
      <c r="FE48" s="55"/>
      <c r="FF48" s="55"/>
      <c r="FG48" s="55"/>
      <c r="FH48" s="55"/>
      <c r="FI48" s="55"/>
      <c r="FJ48" s="55"/>
      <c r="FK48" s="55"/>
      <c r="FL48" s="55"/>
      <c r="FM48" s="55"/>
      <c r="FN48" s="55"/>
      <c r="FO48" s="55"/>
      <c r="FP48" s="55"/>
      <c r="FQ48" s="55"/>
      <c r="FR48" s="55"/>
      <c r="FS48" s="55"/>
      <c r="FT48" s="55"/>
      <c r="FU48" s="55"/>
      <c r="FV48" s="55"/>
      <c r="FW48" s="55"/>
      <c r="FX48" s="55"/>
      <c r="FY48" s="55"/>
      <c r="FZ48" s="55"/>
      <c r="GA48" s="55"/>
      <c r="GB48" s="55"/>
      <c r="GC48" s="55"/>
      <c r="GD48" s="55"/>
      <c r="GE48" s="55"/>
      <c r="GF48" s="55"/>
      <c r="GG48" s="55"/>
      <c r="GH48" s="55"/>
      <c r="GI48" s="55"/>
      <c r="GJ48" s="55"/>
      <c r="GK48" s="55"/>
      <c r="GL48" s="55"/>
      <c r="GM48" s="55"/>
      <c r="GN48" s="55"/>
      <c r="GO48" s="55"/>
      <c r="GP48" s="55"/>
      <c r="GQ48" s="55"/>
      <c r="GR48" s="55"/>
      <c r="GS48" s="55"/>
      <c r="GT48" s="55"/>
      <c r="GU48" s="55"/>
      <c r="GV48" s="55"/>
      <c r="GW48" s="55"/>
      <c r="GX48" s="55"/>
      <c r="GY48" s="55"/>
      <c r="GZ48" s="55"/>
      <c r="HA48" s="55"/>
      <c r="HB48" s="55"/>
      <c r="HC48" s="55"/>
      <c r="HD48" s="55"/>
      <c r="HE48" s="55"/>
      <c r="HF48" s="55"/>
      <c r="HG48" s="55"/>
      <c r="HH48" s="55"/>
      <c r="HI48" s="55"/>
      <c r="HJ48" s="55"/>
      <c r="HK48" s="55"/>
      <c r="HL48" s="55"/>
      <c r="HM48" s="55"/>
      <c r="HN48" s="55"/>
    </row>
    <row r="49" spans="1:222">
      <c r="A49" s="55"/>
      <c r="B49" s="35"/>
      <c r="C49" s="95"/>
      <c r="D49" s="95"/>
      <c r="E49" s="95"/>
      <c r="F49" s="95"/>
      <c r="G49" s="95"/>
      <c r="H49" s="102"/>
      <c r="I49" s="102"/>
      <c r="J49" s="102"/>
      <c r="K49" s="102"/>
      <c r="L49" s="102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5"/>
      <c r="BG49" s="55"/>
      <c r="BH49" s="55"/>
      <c r="BI49" s="55"/>
      <c r="BJ49" s="55"/>
      <c r="BK49" s="55"/>
      <c r="BL49" s="55"/>
      <c r="BM49" s="55"/>
      <c r="BN49" s="55"/>
      <c r="BO49" s="55"/>
      <c r="BP49" s="55"/>
      <c r="BQ49" s="55"/>
      <c r="BR49" s="55"/>
      <c r="BS49" s="55"/>
      <c r="BT49" s="55"/>
      <c r="BU49" s="55"/>
      <c r="BV49" s="55"/>
      <c r="BW49" s="55"/>
      <c r="BX49" s="55"/>
      <c r="BY49" s="55"/>
      <c r="BZ49" s="55"/>
      <c r="CA49" s="55"/>
      <c r="CB49" s="55"/>
      <c r="CC49" s="55"/>
      <c r="CD49" s="55"/>
      <c r="CE49" s="55"/>
      <c r="CF49" s="55"/>
      <c r="CG49" s="55"/>
      <c r="CH49" s="55"/>
      <c r="CI49" s="55"/>
      <c r="CJ49" s="55"/>
      <c r="CK49" s="55"/>
      <c r="CL49" s="55"/>
      <c r="CM49" s="55"/>
      <c r="CN49" s="55"/>
      <c r="CO49" s="55"/>
      <c r="CP49" s="55"/>
      <c r="CQ49" s="55"/>
      <c r="CR49" s="55"/>
      <c r="CS49" s="55"/>
      <c r="CT49" s="55"/>
      <c r="CU49" s="55"/>
      <c r="CV49" s="55"/>
      <c r="CW49" s="55"/>
      <c r="CX49" s="55"/>
      <c r="CY49" s="55"/>
      <c r="CZ49" s="55"/>
      <c r="DA49" s="55"/>
      <c r="DB49" s="55"/>
      <c r="DC49" s="55"/>
      <c r="DD49" s="55"/>
      <c r="DE49" s="55"/>
      <c r="DF49" s="55"/>
      <c r="DG49" s="55"/>
      <c r="DH49" s="55"/>
      <c r="DI49" s="55"/>
      <c r="DJ49" s="55"/>
      <c r="DK49" s="55"/>
      <c r="DL49" s="55"/>
      <c r="DM49" s="55"/>
      <c r="DN49" s="55"/>
      <c r="DO49" s="55"/>
      <c r="DP49" s="55"/>
      <c r="DQ49" s="55"/>
      <c r="DR49" s="55"/>
      <c r="DS49" s="55"/>
      <c r="DT49" s="55"/>
      <c r="DU49" s="55"/>
      <c r="DV49" s="55"/>
      <c r="DW49" s="55"/>
      <c r="DX49" s="55"/>
      <c r="DY49" s="55"/>
      <c r="DZ49" s="55"/>
      <c r="EA49" s="55"/>
      <c r="EB49" s="55"/>
      <c r="EC49" s="55"/>
      <c r="ED49" s="55"/>
      <c r="EE49" s="55"/>
      <c r="EF49" s="55"/>
      <c r="EG49" s="55"/>
      <c r="EH49" s="55"/>
      <c r="EI49" s="55"/>
      <c r="EJ49" s="55"/>
      <c r="EK49" s="55"/>
      <c r="EL49" s="55"/>
      <c r="EM49" s="55"/>
      <c r="EN49" s="55"/>
      <c r="EO49" s="55"/>
      <c r="EP49" s="55"/>
      <c r="EQ49" s="55"/>
      <c r="ER49" s="55"/>
      <c r="ES49" s="55"/>
      <c r="ET49" s="55"/>
      <c r="EU49" s="55"/>
      <c r="EV49" s="55"/>
      <c r="EW49" s="55"/>
      <c r="EX49" s="55"/>
      <c r="EY49" s="55"/>
      <c r="EZ49" s="55"/>
      <c r="FA49" s="55"/>
      <c r="FB49" s="55"/>
      <c r="FC49" s="55"/>
      <c r="FD49" s="55"/>
      <c r="FE49" s="55"/>
      <c r="FF49" s="55"/>
      <c r="FG49" s="55"/>
      <c r="FH49" s="55"/>
      <c r="FI49" s="55"/>
      <c r="FJ49" s="55"/>
      <c r="FK49" s="55"/>
      <c r="FL49" s="55"/>
      <c r="FM49" s="55"/>
      <c r="FN49" s="55"/>
      <c r="FO49" s="55"/>
      <c r="FP49" s="55"/>
      <c r="FQ49" s="55"/>
      <c r="FR49" s="55"/>
      <c r="FS49" s="55"/>
      <c r="FT49" s="55"/>
      <c r="FU49" s="55"/>
      <c r="FV49" s="55"/>
      <c r="FW49" s="55"/>
      <c r="FX49" s="55"/>
      <c r="FY49" s="55"/>
      <c r="FZ49" s="55"/>
      <c r="GA49" s="55"/>
      <c r="GB49" s="55"/>
      <c r="GC49" s="55"/>
      <c r="GD49" s="55"/>
      <c r="GE49" s="55"/>
      <c r="GF49" s="55"/>
      <c r="GG49" s="55"/>
      <c r="GH49" s="55"/>
      <c r="GI49" s="55"/>
      <c r="GJ49" s="55"/>
      <c r="GK49" s="55"/>
      <c r="GL49" s="55"/>
      <c r="GM49" s="55"/>
      <c r="GN49" s="55"/>
      <c r="GO49" s="55"/>
      <c r="GP49" s="55"/>
      <c r="GQ49" s="55"/>
      <c r="GR49" s="55"/>
      <c r="GS49" s="55"/>
      <c r="GT49" s="55"/>
      <c r="GU49" s="55"/>
      <c r="GV49" s="55"/>
      <c r="GW49" s="55"/>
      <c r="GX49" s="55"/>
      <c r="GY49" s="55"/>
      <c r="GZ49" s="55"/>
      <c r="HA49" s="55"/>
      <c r="HB49" s="55"/>
      <c r="HC49" s="55"/>
      <c r="HD49" s="55"/>
      <c r="HE49" s="55"/>
      <c r="HF49" s="55"/>
      <c r="HG49" s="55"/>
      <c r="HH49" s="55"/>
      <c r="HI49" s="55"/>
      <c r="HJ49" s="55"/>
      <c r="HK49" s="55"/>
      <c r="HL49" s="55"/>
      <c r="HM49" s="55"/>
      <c r="HN49" s="55"/>
    </row>
    <row r="50" spans="1:222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5"/>
      <c r="BK50" s="55"/>
      <c r="BL50" s="55"/>
      <c r="BM50" s="55"/>
      <c r="BN50" s="55"/>
      <c r="BO50" s="55"/>
      <c r="BP50" s="55"/>
      <c r="BQ50" s="55"/>
      <c r="BR50" s="55"/>
      <c r="BS50" s="55"/>
      <c r="BT50" s="55"/>
      <c r="BU50" s="55"/>
      <c r="BV50" s="55"/>
      <c r="BW50" s="55"/>
      <c r="BX50" s="55"/>
      <c r="BY50" s="55"/>
      <c r="BZ50" s="55"/>
      <c r="CA50" s="55"/>
      <c r="CB50" s="55"/>
      <c r="CC50" s="55"/>
      <c r="CD50" s="55"/>
      <c r="CE50" s="55"/>
      <c r="CF50" s="55"/>
      <c r="CG50" s="55"/>
      <c r="CH50" s="55"/>
      <c r="CI50" s="55"/>
      <c r="CJ50" s="55"/>
      <c r="CK50" s="55"/>
      <c r="CL50" s="55"/>
      <c r="CM50" s="55"/>
      <c r="CN50" s="55"/>
      <c r="CO50" s="55"/>
      <c r="CP50" s="55"/>
      <c r="CQ50" s="55"/>
      <c r="CR50" s="55"/>
      <c r="CS50" s="55"/>
      <c r="CT50" s="55"/>
      <c r="CU50" s="55"/>
      <c r="CV50" s="55"/>
      <c r="CW50" s="55"/>
      <c r="CX50" s="55"/>
      <c r="CY50" s="55"/>
      <c r="CZ50" s="55"/>
      <c r="DA50" s="55"/>
      <c r="DB50" s="55"/>
      <c r="DC50" s="55"/>
      <c r="DD50" s="55"/>
      <c r="DE50" s="55"/>
      <c r="DF50" s="55"/>
      <c r="DG50" s="55"/>
      <c r="DH50" s="55"/>
      <c r="DI50" s="55"/>
      <c r="DJ50" s="55"/>
      <c r="DK50" s="55"/>
      <c r="DL50" s="55"/>
      <c r="DM50" s="55"/>
      <c r="DN50" s="55"/>
      <c r="DO50" s="55"/>
      <c r="DP50" s="55"/>
      <c r="DQ50" s="55"/>
      <c r="DR50" s="55"/>
      <c r="DS50" s="55"/>
      <c r="DT50" s="55"/>
      <c r="DU50" s="55"/>
      <c r="DV50" s="55"/>
      <c r="DW50" s="55"/>
      <c r="DX50" s="55"/>
      <c r="DY50" s="55"/>
      <c r="DZ50" s="55"/>
      <c r="EA50" s="55"/>
      <c r="EB50" s="55"/>
      <c r="EC50" s="55"/>
      <c r="ED50" s="55"/>
      <c r="EE50" s="55"/>
      <c r="EF50" s="55"/>
      <c r="EG50" s="55"/>
      <c r="EH50" s="55"/>
      <c r="EI50" s="55"/>
      <c r="EJ50" s="55"/>
      <c r="EK50" s="55"/>
      <c r="EL50" s="55"/>
      <c r="EM50" s="55"/>
      <c r="EN50" s="55"/>
      <c r="EO50" s="55"/>
      <c r="EP50" s="55"/>
      <c r="EQ50" s="55"/>
      <c r="ER50" s="55"/>
      <c r="ES50" s="55"/>
      <c r="ET50" s="55"/>
      <c r="EU50" s="55"/>
      <c r="EV50" s="55"/>
      <c r="EW50" s="55"/>
      <c r="EX50" s="55"/>
      <c r="EY50" s="55"/>
      <c r="EZ50" s="55"/>
      <c r="FA50" s="55"/>
      <c r="FB50" s="55"/>
      <c r="FC50" s="55"/>
      <c r="FD50" s="55"/>
      <c r="FE50" s="55"/>
      <c r="FF50" s="55"/>
      <c r="FG50" s="55"/>
      <c r="FH50" s="55"/>
      <c r="FI50" s="55"/>
      <c r="FJ50" s="55"/>
      <c r="FK50" s="55"/>
      <c r="FL50" s="55"/>
      <c r="FM50" s="55"/>
      <c r="FN50" s="55"/>
      <c r="FO50" s="55"/>
      <c r="FP50" s="55"/>
      <c r="FQ50" s="55"/>
      <c r="FR50" s="55"/>
      <c r="FS50" s="55"/>
      <c r="FT50" s="55"/>
      <c r="FU50" s="55"/>
      <c r="FV50" s="55"/>
      <c r="FW50" s="55"/>
      <c r="FX50" s="55"/>
      <c r="FY50" s="55"/>
      <c r="FZ50" s="55"/>
      <c r="GA50" s="55"/>
      <c r="GB50" s="55"/>
      <c r="GC50" s="55"/>
      <c r="GD50" s="55"/>
      <c r="GE50" s="55"/>
      <c r="GF50" s="55"/>
      <c r="GG50" s="55"/>
      <c r="GH50" s="55"/>
      <c r="GI50" s="55"/>
      <c r="GJ50" s="55"/>
      <c r="GK50" s="55"/>
      <c r="GL50" s="55"/>
      <c r="GM50" s="55"/>
      <c r="GN50" s="55"/>
      <c r="GO50" s="55"/>
      <c r="GP50" s="55"/>
      <c r="GQ50" s="55"/>
      <c r="GR50" s="55"/>
      <c r="GS50" s="55"/>
      <c r="GT50" s="55"/>
      <c r="GU50" s="55"/>
      <c r="GV50" s="55"/>
      <c r="GW50" s="55"/>
      <c r="GX50" s="55"/>
      <c r="GY50" s="55"/>
      <c r="GZ50" s="55"/>
      <c r="HA50" s="55"/>
      <c r="HB50" s="55"/>
      <c r="HC50" s="55"/>
      <c r="HD50" s="55"/>
      <c r="HE50" s="55"/>
      <c r="HF50" s="55"/>
      <c r="HG50" s="55"/>
      <c r="HH50" s="55"/>
      <c r="HI50" s="55"/>
      <c r="HJ50" s="55"/>
      <c r="HK50" s="55"/>
      <c r="HL50" s="55"/>
      <c r="HM50" s="55"/>
      <c r="HN50" s="55"/>
    </row>
    <row r="51" spans="1:222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55"/>
      <c r="BJ51" s="55"/>
      <c r="BK51" s="55"/>
      <c r="BL51" s="55"/>
      <c r="BM51" s="55"/>
      <c r="BN51" s="55"/>
      <c r="BO51" s="55"/>
      <c r="BP51" s="55"/>
      <c r="BQ51" s="55"/>
      <c r="BR51" s="55"/>
      <c r="BS51" s="55"/>
      <c r="BT51" s="55"/>
      <c r="BU51" s="55"/>
      <c r="BV51" s="55"/>
      <c r="BW51" s="55"/>
      <c r="BX51" s="55"/>
      <c r="BY51" s="55"/>
      <c r="BZ51" s="55"/>
      <c r="CA51" s="55"/>
      <c r="CB51" s="55"/>
      <c r="CC51" s="55"/>
      <c r="CD51" s="55"/>
      <c r="CE51" s="55"/>
      <c r="CF51" s="55"/>
      <c r="CG51" s="55"/>
      <c r="CH51" s="55"/>
      <c r="CI51" s="55"/>
      <c r="CJ51" s="55"/>
      <c r="CK51" s="55"/>
      <c r="CL51" s="55"/>
      <c r="CM51" s="55"/>
      <c r="CN51" s="55"/>
      <c r="CO51" s="55"/>
      <c r="CP51" s="55"/>
      <c r="CQ51" s="55"/>
      <c r="CR51" s="55"/>
      <c r="CS51" s="55"/>
      <c r="CT51" s="55"/>
      <c r="CU51" s="55"/>
      <c r="CV51" s="55"/>
      <c r="CW51" s="55"/>
      <c r="CX51" s="55"/>
      <c r="CY51" s="55"/>
      <c r="CZ51" s="55"/>
      <c r="DA51" s="55"/>
      <c r="DB51" s="55"/>
      <c r="DC51" s="55"/>
      <c r="DD51" s="55"/>
      <c r="DE51" s="55"/>
      <c r="DF51" s="55"/>
      <c r="DG51" s="55"/>
      <c r="DH51" s="55"/>
      <c r="DI51" s="55"/>
      <c r="DJ51" s="55"/>
      <c r="DK51" s="55"/>
      <c r="DL51" s="55"/>
      <c r="DM51" s="55"/>
      <c r="DN51" s="55"/>
      <c r="DO51" s="55"/>
      <c r="DP51" s="55"/>
      <c r="DQ51" s="55"/>
      <c r="DR51" s="55"/>
      <c r="DS51" s="55"/>
      <c r="DT51" s="55"/>
      <c r="DU51" s="55"/>
      <c r="DV51" s="55"/>
      <c r="DW51" s="55"/>
      <c r="DX51" s="55"/>
      <c r="DY51" s="55"/>
      <c r="DZ51" s="55"/>
      <c r="EA51" s="55"/>
      <c r="EB51" s="55"/>
      <c r="EC51" s="55"/>
      <c r="ED51" s="55"/>
      <c r="EE51" s="55"/>
      <c r="EF51" s="55"/>
      <c r="EG51" s="55"/>
      <c r="EH51" s="55"/>
      <c r="EI51" s="55"/>
      <c r="EJ51" s="55"/>
      <c r="EK51" s="55"/>
      <c r="EL51" s="55"/>
      <c r="EM51" s="55"/>
      <c r="EN51" s="55"/>
      <c r="EO51" s="55"/>
      <c r="EP51" s="55"/>
      <c r="EQ51" s="55"/>
      <c r="ER51" s="55"/>
      <c r="ES51" s="55"/>
      <c r="ET51" s="55"/>
      <c r="EU51" s="55"/>
      <c r="EV51" s="55"/>
      <c r="EW51" s="55"/>
      <c r="EX51" s="55"/>
      <c r="EY51" s="55"/>
      <c r="EZ51" s="55"/>
      <c r="FA51" s="55"/>
      <c r="FB51" s="55"/>
      <c r="FC51" s="55"/>
      <c r="FD51" s="55"/>
      <c r="FE51" s="55"/>
      <c r="FF51" s="55"/>
      <c r="FG51" s="55"/>
      <c r="FH51" s="55"/>
      <c r="FI51" s="55"/>
      <c r="FJ51" s="55"/>
      <c r="FK51" s="55"/>
      <c r="FL51" s="55"/>
      <c r="FM51" s="55"/>
      <c r="FN51" s="55"/>
      <c r="FO51" s="55"/>
      <c r="FP51" s="55"/>
      <c r="FQ51" s="55"/>
      <c r="FR51" s="55"/>
      <c r="FS51" s="55"/>
      <c r="FT51" s="55"/>
      <c r="FU51" s="55"/>
      <c r="FV51" s="55"/>
      <c r="FW51" s="55"/>
      <c r="FX51" s="55"/>
      <c r="FY51" s="55"/>
      <c r="FZ51" s="55"/>
      <c r="GA51" s="55"/>
      <c r="GB51" s="55"/>
      <c r="GC51" s="55"/>
      <c r="GD51" s="55"/>
      <c r="GE51" s="55"/>
      <c r="GF51" s="55"/>
      <c r="GG51" s="55"/>
      <c r="GH51" s="55"/>
      <c r="GI51" s="55"/>
      <c r="GJ51" s="55"/>
      <c r="GK51" s="55"/>
      <c r="GL51" s="55"/>
      <c r="GM51" s="55"/>
      <c r="GN51" s="55"/>
      <c r="GO51" s="55"/>
      <c r="GP51" s="55"/>
      <c r="GQ51" s="55"/>
      <c r="GR51" s="55"/>
      <c r="GS51" s="55"/>
      <c r="GT51" s="55"/>
      <c r="GU51" s="55"/>
      <c r="GV51" s="55"/>
      <c r="GW51" s="55"/>
      <c r="GX51" s="55"/>
      <c r="GY51" s="55"/>
      <c r="GZ51" s="55"/>
      <c r="HA51" s="55"/>
      <c r="HB51" s="55"/>
      <c r="HC51" s="55"/>
      <c r="HD51" s="55"/>
      <c r="HE51" s="55"/>
      <c r="HF51" s="55"/>
      <c r="HG51" s="55"/>
      <c r="HH51" s="55"/>
      <c r="HI51" s="55"/>
      <c r="HJ51" s="55"/>
      <c r="HK51" s="55"/>
      <c r="HL51" s="55"/>
      <c r="HM51" s="55"/>
      <c r="HN51" s="55"/>
    </row>
    <row r="52" spans="1:222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55"/>
      <c r="BJ52" s="55"/>
      <c r="BK52" s="55"/>
      <c r="BL52" s="55"/>
      <c r="BM52" s="55"/>
      <c r="BN52" s="55"/>
      <c r="BO52" s="55"/>
      <c r="BP52" s="55"/>
      <c r="BQ52" s="55"/>
      <c r="BR52" s="55"/>
      <c r="BS52" s="55"/>
      <c r="BT52" s="55"/>
      <c r="BU52" s="55"/>
      <c r="BV52" s="55"/>
      <c r="BW52" s="55"/>
      <c r="BX52" s="55"/>
      <c r="BY52" s="55"/>
      <c r="BZ52" s="55"/>
      <c r="CA52" s="55"/>
      <c r="CB52" s="55"/>
      <c r="CC52" s="55"/>
      <c r="CD52" s="55"/>
      <c r="CE52" s="55"/>
      <c r="CF52" s="55"/>
      <c r="CG52" s="55"/>
      <c r="CH52" s="55"/>
      <c r="CI52" s="55"/>
      <c r="CJ52" s="55"/>
      <c r="CK52" s="55"/>
      <c r="CL52" s="55"/>
      <c r="CM52" s="55"/>
      <c r="CN52" s="55"/>
      <c r="CO52" s="55"/>
      <c r="CP52" s="55"/>
      <c r="CQ52" s="55"/>
      <c r="CR52" s="55"/>
      <c r="CS52" s="55"/>
      <c r="CT52" s="55"/>
      <c r="CU52" s="55"/>
      <c r="CV52" s="55"/>
      <c r="CW52" s="55"/>
      <c r="CX52" s="55"/>
      <c r="CY52" s="55"/>
      <c r="CZ52" s="55"/>
      <c r="DA52" s="55"/>
      <c r="DB52" s="55"/>
      <c r="DC52" s="55"/>
      <c r="DD52" s="55"/>
      <c r="DE52" s="55"/>
      <c r="DF52" s="55"/>
      <c r="DG52" s="55"/>
      <c r="DH52" s="55"/>
      <c r="DI52" s="55"/>
      <c r="DJ52" s="55"/>
      <c r="DK52" s="55"/>
      <c r="DL52" s="55"/>
      <c r="DM52" s="55"/>
      <c r="DN52" s="55"/>
      <c r="DO52" s="55"/>
      <c r="DP52" s="55"/>
      <c r="DQ52" s="55"/>
      <c r="DR52" s="55"/>
      <c r="DS52" s="55"/>
      <c r="DT52" s="55"/>
      <c r="DU52" s="55"/>
      <c r="DV52" s="55"/>
      <c r="DW52" s="55"/>
      <c r="DX52" s="55"/>
      <c r="DY52" s="55"/>
      <c r="DZ52" s="55"/>
      <c r="EA52" s="55"/>
      <c r="EB52" s="55"/>
      <c r="EC52" s="55"/>
      <c r="ED52" s="55"/>
      <c r="EE52" s="55"/>
      <c r="EF52" s="55"/>
      <c r="EG52" s="55"/>
      <c r="EH52" s="55"/>
      <c r="EI52" s="55"/>
      <c r="EJ52" s="55"/>
      <c r="EK52" s="55"/>
      <c r="EL52" s="55"/>
      <c r="EM52" s="55"/>
      <c r="EN52" s="55"/>
      <c r="EO52" s="55"/>
      <c r="EP52" s="55"/>
      <c r="EQ52" s="55"/>
      <c r="ER52" s="55"/>
      <c r="ES52" s="55"/>
      <c r="ET52" s="55"/>
      <c r="EU52" s="55"/>
      <c r="EV52" s="55"/>
      <c r="EW52" s="55"/>
      <c r="EX52" s="55"/>
      <c r="EY52" s="55"/>
      <c r="EZ52" s="55"/>
      <c r="FA52" s="55"/>
      <c r="FB52" s="55"/>
      <c r="FC52" s="55"/>
      <c r="FD52" s="55"/>
      <c r="FE52" s="55"/>
      <c r="FF52" s="55"/>
      <c r="FG52" s="55"/>
      <c r="FH52" s="55"/>
      <c r="FI52" s="55"/>
      <c r="FJ52" s="55"/>
      <c r="FK52" s="55"/>
      <c r="FL52" s="55"/>
      <c r="FM52" s="55"/>
      <c r="FN52" s="55"/>
      <c r="FO52" s="55"/>
      <c r="FP52" s="55"/>
      <c r="FQ52" s="55"/>
      <c r="FR52" s="55"/>
      <c r="FS52" s="55"/>
      <c r="FT52" s="55"/>
      <c r="FU52" s="55"/>
      <c r="FV52" s="55"/>
      <c r="FW52" s="55"/>
      <c r="FX52" s="55"/>
      <c r="FY52" s="55"/>
      <c r="FZ52" s="55"/>
      <c r="GA52" s="55"/>
      <c r="GB52" s="55"/>
      <c r="GC52" s="55"/>
      <c r="GD52" s="55"/>
      <c r="GE52" s="55"/>
      <c r="GF52" s="55"/>
      <c r="GG52" s="55"/>
      <c r="GH52" s="55"/>
      <c r="GI52" s="55"/>
      <c r="GJ52" s="55"/>
      <c r="GK52" s="55"/>
      <c r="GL52" s="55"/>
      <c r="GM52" s="55"/>
      <c r="GN52" s="55"/>
      <c r="GO52" s="55"/>
      <c r="GP52" s="55"/>
      <c r="GQ52" s="55"/>
      <c r="GR52" s="55"/>
      <c r="GS52" s="55"/>
      <c r="GT52" s="55"/>
      <c r="GU52" s="55"/>
      <c r="GV52" s="55"/>
      <c r="GW52" s="55"/>
      <c r="GX52" s="55"/>
      <c r="GY52" s="55"/>
      <c r="GZ52" s="55"/>
      <c r="HA52" s="55"/>
      <c r="HB52" s="55"/>
      <c r="HC52" s="55"/>
      <c r="HD52" s="55"/>
      <c r="HE52" s="55"/>
      <c r="HF52" s="55"/>
      <c r="HG52" s="55"/>
      <c r="HH52" s="55"/>
      <c r="HI52" s="55"/>
      <c r="HJ52" s="55"/>
      <c r="HK52" s="55"/>
      <c r="HL52" s="55"/>
      <c r="HM52" s="55"/>
      <c r="HN52" s="55"/>
    </row>
    <row r="53" spans="1:222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  <c r="BW53" s="55"/>
      <c r="BX53" s="55"/>
      <c r="BY53" s="55"/>
      <c r="BZ53" s="55"/>
      <c r="CA53" s="55"/>
      <c r="CB53" s="55"/>
      <c r="CC53" s="55"/>
      <c r="CD53" s="55"/>
      <c r="CE53" s="55"/>
      <c r="CF53" s="55"/>
      <c r="CG53" s="55"/>
      <c r="CH53" s="55"/>
      <c r="CI53" s="55"/>
      <c r="CJ53" s="55"/>
      <c r="CK53" s="55"/>
      <c r="CL53" s="55"/>
      <c r="CM53" s="55"/>
      <c r="CN53" s="55"/>
      <c r="CO53" s="55"/>
      <c r="CP53" s="55"/>
      <c r="CQ53" s="55"/>
      <c r="CR53" s="55"/>
      <c r="CS53" s="55"/>
      <c r="CT53" s="55"/>
      <c r="CU53" s="55"/>
      <c r="CV53" s="55"/>
      <c r="CW53" s="55"/>
      <c r="CX53" s="55"/>
      <c r="CY53" s="55"/>
      <c r="CZ53" s="55"/>
      <c r="DA53" s="55"/>
      <c r="DB53" s="55"/>
      <c r="DC53" s="55"/>
      <c r="DD53" s="55"/>
      <c r="DE53" s="55"/>
      <c r="DF53" s="55"/>
      <c r="DG53" s="55"/>
      <c r="DH53" s="55"/>
      <c r="DI53" s="55"/>
      <c r="DJ53" s="55"/>
      <c r="DK53" s="55"/>
      <c r="DL53" s="55"/>
      <c r="DM53" s="55"/>
      <c r="DN53" s="55"/>
      <c r="DO53" s="55"/>
      <c r="DP53" s="55"/>
      <c r="DQ53" s="55"/>
      <c r="DR53" s="55"/>
      <c r="DS53" s="55"/>
      <c r="DT53" s="55"/>
      <c r="DU53" s="55"/>
      <c r="DV53" s="55"/>
      <c r="DW53" s="55"/>
      <c r="DX53" s="55"/>
      <c r="DY53" s="55"/>
      <c r="DZ53" s="55"/>
      <c r="EA53" s="55"/>
      <c r="EB53" s="55"/>
      <c r="EC53" s="55"/>
      <c r="ED53" s="55"/>
      <c r="EE53" s="55"/>
      <c r="EF53" s="55"/>
      <c r="EG53" s="55"/>
      <c r="EH53" s="55"/>
      <c r="EI53" s="55"/>
      <c r="EJ53" s="55"/>
      <c r="EK53" s="55"/>
      <c r="EL53" s="55"/>
      <c r="EM53" s="55"/>
      <c r="EN53" s="55"/>
      <c r="EO53" s="55"/>
      <c r="EP53" s="55"/>
      <c r="EQ53" s="55"/>
      <c r="ER53" s="55"/>
      <c r="ES53" s="55"/>
      <c r="ET53" s="55"/>
      <c r="EU53" s="55"/>
      <c r="EV53" s="55"/>
      <c r="EW53" s="55"/>
      <c r="EX53" s="55"/>
      <c r="EY53" s="55"/>
      <c r="EZ53" s="55"/>
      <c r="FA53" s="55"/>
      <c r="FB53" s="55"/>
      <c r="FC53" s="55"/>
      <c r="FD53" s="55"/>
      <c r="FE53" s="55"/>
      <c r="FF53" s="55"/>
      <c r="FG53" s="55"/>
      <c r="FH53" s="55"/>
      <c r="FI53" s="55"/>
      <c r="FJ53" s="55"/>
      <c r="FK53" s="55"/>
      <c r="FL53" s="55"/>
      <c r="FM53" s="55"/>
      <c r="FN53" s="55"/>
      <c r="FO53" s="55"/>
      <c r="FP53" s="55"/>
      <c r="FQ53" s="55"/>
      <c r="FR53" s="55"/>
      <c r="FS53" s="55"/>
      <c r="FT53" s="55"/>
      <c r="FU53" s="55"/>
      <c r="FV53" s="55"/>
      <c r="FW53" s="55"/>
      <c r="FX53" s="55"/>
      <c r="FY53" s="55"/>
      <c r="FZ53" s="55"/>
      <c r="GA53" s="55"/>
      <c r="GB53" s="55"/>
      <c r="GC53" s="55"/>
      <c r="GD53" s="55"/>
      <c r="GE53" s="55"/>
      <c r="GF53" s="55"/>
      <c r="GG53" s="55"/>
      <c r="GH53" s="55"/>
      <c r="GI53" s="55"/>
      <c r="GJ53" s="55"/>
      <c r="GK53" s="55"/>
      <c r="GL53" s="55"/>
      <c r="GM53" s="55"/>
      <c r="GN53" s="55"/>
      <c r="GO53" s="55"/>
      <c r="GP53" s="55"/>
      <c r="GQ53" s="55"/>
      <c r="GR53" s="55"/>
      <c r="GS53" s="55"/>
      <c r="GT53" s="55"/>
      <c r="GU53" s="55"/>
      <c r="GV53" s="55"/>
      <c r="GW53" s="55"/>
      <c r="GX53" s="55"/>
      <c r="GY53" s="55"/>
      <c r="GZ53" s="55"/>
      <c r="HA53" s="55"/>
      <c r="HB53" s="55"/>
      <c r="HC53" s="55"/>
      <c r="HD53" s="55"/>
      <c r="HE53" s="55"/>
      <c r="HF53" s="55"/>
      <c r="HG53" s="55"/>
      <c r="HH53" s="55"/>
      <c r="HI53" s="55"/>
      <c r="HJ53" s="55"/>
      <c r="HK53" s="55"/>
      <c r="HL53" s="55"/>
      <c r="HM53" s="55"/>
      <c r="HN53" s="55"/>
    </row>
    <row r="54" spans="1:222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  <c r="BD54" s="55"/>
      <c r="BE54" s="55"/>
      <c r="BF54" s="55"/>
      <c r="BG54" s="55"/>
      <c r="BH54" s="55"/>
      <c r="BI54" s="55"/>
      <c r="BJ54" s="55"/>
      <c r="BK54" s="55"/>
      <c r="BL54" s="55"/>
      <c r="BM54" s="55"/>
      <c r="BN54" s="55"/>
      <c r="BO54" s="55"/>
      <c r="BP54" s="55"/>
      <c r="BQ54" s="55"/>
      <c r="BR54" s="55"/>
      <c r="BS54" s="55"/>
      <c r="BT54" s="55"/>
      <c r="BU54" s="55"/>
      <c r="BV54" s="55"/>
      <c r="BW54" s="55"/>
      <c r="BX54" s="55"/>
      <c r="BY54" s="55"/>
      <c r="BZ54" s="55"/>
      <c r="CA54" s="55"/>
      <c r="CB54" s="55"/>
      <c r="CC54" s="55"/>
      <c r="CD54" s="55"/>
      <c r="CE54" s="55"/>
      <c r="CF54" s="55"/>
      <c r="CG54" s="55"/>
      <c r="CH54" s="55"/>
      <c r="CI54" s="55"/>
      <c r="CJ54" s="55"/>
      <c r="CK54" s="55"/>
      <c r="CL54" s="55"/>
      <c r="CM54" s="55"/>
      <c r="CN54" s="55"/>
      <c r="CO54" s="55"/>
      <c r="CP54" s="55"/>
      <c r="CQ54" s="55"/>
      <c r="CR54" s="55"/>
      <c r="CS54" s="55"/>
      <c r="CT54" s="55"/>
      <c r="CU54" s="55"/>
      <c r="CV54" s="55"/>
      <c r="CW54" s="55"/>
      <c r="CX54" s="55"/>
      <c r="CY54" s="55"/>
      <c r="CZ54" s="55"/>
      <c r="DA54" s="55"/>
      <c r="DB54" s="55"/>
      <c r="DC54" s="55"/>
      <c r="DD54" s="55"/>
      <c r="DE54" s="55"/>
      <c r="DF54" s="55"/>
      <c r="DG54" s="55"/>
      <c r="DH54" s="55"/>
      <c r="DI54" s="55"/>
      <c r="DJ54" s="55"/>
      <c r="DK54" s="55"/>
      <c r="DL54" s="55"/>
      <c r="DM54" s="55"/>
      <c r="DN54" s="55"/>
      <c r="DO54" s="55"/>
      <c r="DP54" s="55"/>
      <c r="DQ54" s="55"/>
      <c r="DR54" s="55"/>
      <c r="DS54" s="55"/>
      <c r="DT54" s="55"/>
      <c r="DU54" s="55"/>
      <c r="DV54" s="55"/>
      <c r="DW54" s="55"/>
      <c r="DX54" s="55"/>
      <c r="DY54" s="55"/>
      <c r="DZ54" s="55"/>
      <c r="EA54" s="55"/>
      <c r="EB54" s="55"/>
      <c r="EC54" s="55"/>
      <c r="ED54" s="55"/>
      <c r="EE54" s="55"/>
      <c r="EF54" s="55"/>
      <c r="EG54" s="55"/>
      <c r="EH54" s="55"/>
      <c r="EI54" s="55"/>
      <c r="EJ54" s="55"/>
      <c r="EK54" s="55"/>
      <c r="EL54" s="55"/>
      <c r="EM54" s="55"/>
      <c r="EN54" s="55"/>
      <c r="EO54" s="55"/>
      <c r="EP54" s="55"/>
      <c r="EQ54" s="55"/>
      <c r="ER54" s="55"/>
      <c r="ES54" s="55"/>
      <c r="ET54" s="55"/>
      <c r="EU54" s="55"/>
      <c r="EV54" s="55"/>
      <c r="EW54" s="55"/>
      <c r="EX54" s="55"/>
      <c r="EY54" s="55"/>
      <c r="EZ54" s="55"/>
      <c r="FA54" s="55"/>
      <c r="FB54" s="55"/>
      <c r="FC54" s="55"/>
      <c r="FD54" s="55"/>
      <c r="FE54" s="55"/>
      <c r="FF54" s="55"/>
      <c r="FG54" s="55"/>
      <c r="FH54" s="55"/>
      <c r="FI54" s="55"/>
      <c r="FJ54" s="55"/>
      <c r="FK54" s="55"/>
      <c r="FL54" s="55"/>
      <c r="FM54" s="55"/>
      <c r="FN54" s="55"/>
      <c r="FO54" s="55"/>
      <c r="FP54" s="55"/>
      <c r="FQ54" s="55"/>
      <c r="FR54" s="55"/>
      <c r="FS54" s="55"/>
      <c r="FT54" s="55"/>
      <c r="FU54" s="55"/>
      <c r="FV54" s="55"/>
      <c r="FW54" s="55"/>
      <c r="FX54" s="55"/>
      <c r="FY54" s="55"/>
      <c r="FZ54" s="55"/>
      <c r="GA54" s="55"/>
      <c r="GB54" s="55"/>
      <c r="GC54" s="55"/>
      <c r="GD54" s="55"/>
      <c r="GE54" s="55"/>
      <c r="GF54" s="55"/>
      <c r="GG54" s="55"/>
      <c r="GH54" s="55"/>
      <c r="GI54" s="55"/>
      <c r="GJ54" s="55"/>
      <c r="GK54" s="55"/>
      <c r="GL54" s="55"/>
      <c r="GM54" s="55"/>
      <c r="GN54" s="55"/>
      <c r="GO54" s="55"/>
      <c r="GP54" s="55"/>
      <c r="GQ54" s="55"/>
      <c r="GR54" s="55"/>
      <c r="GS54" s="55"/>
      <c r="GT54" s="55"/>
      <c r="GU54" s="55"/>
      <c r="GV54" s="55"/>
      <c r="GW54" s="55"/>
      <c r="GX54" s="55"/>
      <c r="GY54" s="55"/>
      <c r="GZ54" s="55"/>
      <c r="HA54" s="55"/>
      <c r="HB54" s="55"/>
      <c r="HC54" s="55"/>
      <c r="HD54" s="55"/>
      <c r="HE54" s="55"/>
      <c r="HF54" s="55"/>
      <c r="HG54" s="55"/>
      <c r="HH54" s="55"/>
      <c r="HI54" s="55"/>
      <c r="HJ54" s="55"/>
      <c r="HK54" s="55"/>
      <c r="HL54" s="55"/>
      <c r="HM54" s="55"/>
      <c r="HN54" s="55"/>
    </row>
    <row r="55" spans="1:222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J55" s="55"/>
      <c r="BK55" s="55"/>
      <c r="BL55" s="55"/>
      <c r="BM55" s="55"/>
      <c r="BN55" s="55"/>
      <c r="BO55" s="55"/>
      <c r="BP55" s="55"/>
      <c r="BQ55" s="55"/>
      <c r="BR55" s="55"/>
      <c r="BS55" s="55"/>
      <c r="BT55" s="55"/>
      <c r="BU55" s="55"/>
      <c r="BV55" s="55"/>
      <c r="BW55" s="55"/>
      <c r="BX55" s="55"/>
      <c r="BY55" s="55"/>
      <c r="BZ55" s="55"/>
      <c r="CA55" s="55"/>
      <c r="CB55" s="55"/>
      <c r="CC55" s="55"/>
      <c r="CD55" s="55"/>
      <c r="CE55" s="55"/>
      <c r="CF55" s="55"/>
      <c r="CG55" s="55"/>
      <c r="CH55" s="55"/>
      <c r="CI55" s="55"/>
      <c r="CJ55" s="55"/>
      <c r="CK55" s="55"/>
      <c r="CL55" s="55"/>
      <c r="CM55" s="55"/>
      <c r="CN55" s="55"/>
      <c r="CO55" s="55"/>
      <c r="CP55" s="55"/>
      <c r="CQ55" s="55"/>
      <c r="CR55" s="55"/>
      <c r="CS55" s="55"/>
      <c r="CT55" s="55"/>
      <c r="CU55" s="55"/>
      <c r="CV55" s="55"/>
      <c r="CW55" s="55"/>
      <c r="CX55" s="55"/>
      <c r="CY55" s="55"/>
      <c r="CZ55" s="55"/>
      <c r="DA55" s="55"/>
      <c r="DB55" s="55"/>
      <c r="DC55" s="55"/>
      <c r="DD55" s="55"/>
      <c r="DE55" s="55"/>
      <c r="DF55" s="55"/>
      <c r="DG55" s="55"/>
      <c r="DH55" s="55"/>
      <c r="DI55" s="55"/>
      <c r="DJ55" s="55"/>
      <c r="DK55" s="55"/>
      <c r="DL55" s="55"/>
      <c r="DM55" s="55"/>
      <c r="DN55" s="55"/>
      <c r="DO55" s="55"/>
      <c r="DP55" s="55"/>
      <c r="DQ55" s="55"/>
      <c r="DR55" s="55"/>
      <c r="DS55" s="55"/>
      <c r="DT55" s="55"/>
      <c r="DU55" s="55"/>
      <c r="DV55" s="55"/>
      <c r="DW55" s="55"/>
      <c r="DX55" s="55"/>
      <c r="DY55" s="55"/>
      <c r="DZ55" s="55"/>
      <c r="EA55" s="55"/>
      <c r="EB55" s="55"/>
      <c r="EC55" s="55"/>
      <c r="ED55" s="55"/>
      <c r="EE55" s="55"/>
      <c r="EF55" s="55"/>
      <c r="EG55" s="55"/>
      <c r="EH55" s="55"/>
      <c r="EI55" s="55"/>
      <c r="EJ55" s="55"/>
      <c r="EK55" s="55"/>
      <c r="EL55" s="55"/>
      <c r="EM55" s="55"/>
      <c r="EN55" s="55"/>
      <c r="EO55" s="55"/>
      <c r="EP55" s="55"/>
      <c r="EQ55" s="55"/>
      <c r="ER55" s="55"/>
      <c r="ES55" s="55"/>
      <c r="ET55" s="55"/>
      <c r="EU55" s="55"/>
      <c r="EV55" s="55"/>
      <c r="EW55" s="55"/>
      <c r="EX55" s="55"/>
      <c r="EY55" s="55"/>
      <c r="EZ55" s="55"/>
      <c r="FA55" s="55"/>
      <c r="FB55" s="55"/>
      <c r="FC55" s="55"/>
      <c r="FD55" s="55"/>
      <c r="FE55" s="55"/>
      <c r="FF55" s="55"/>
      <c r="FG55" s="55"/>
      <c r="FH55" s="55"/>
      <c r="FI55" s="55"/>
      <c r="FJ55" s="55"/>
      <c r="FK55" s="55"/>
      <c r="FL55" s="55"/>
      <c r="FM55" s="55"/>
      <c r="FN55" s="55"/>
      <c r="FO55" s="55"/>
      <c r="FP55" s="55"/>
      <c r="FQ55" s="55"/>
      <c r="FR55" s="55"/>
      <c r="FS55" s="55"/>
      <c r="FT55" s="55"/>
      <c r="FU55" s="55"/>
      <c r="FV55" s="55"/>
      <c r="FW55" s="55"/>
      <c r="FX55" s="55"/>
      <c r="FY55" s="55"/>
      <c r="FZ55" s="55"/>
      <c r="GA55" s="55"/>
      <c r="GB55" s="55"/>
      <c r="GC55" s="55"/>
      <c r="GD55" s="55"/>
      <c r="GE55" s="55"/>
      <c r="GF55" s="55"/>
      <c r="GG55" s="55"/>
      <c r="GH55" s="55"/>
      <c r="GI55" s="55"/>
      <c r="GJ55" s="55"/>
      <c r="GK55" s="55"/>
      <c r="GL55" s="55"/>
      <c r="GM55" s="55"/>
      <c r="GN55" s="55"/>
      <c r="GO55" s="55"/>
      <c r="GP55" s="55"/>
      <c r="GQ55" s="55"/>
      <c r="GR55" s="55"/>
      <c r="GS55" s="55"/>
      <c r="GT55" s="55"/>
      <c r="GU55" s="55"/>
      <c r="GV55" s="55"/>
      <c r="GW55" s="55"/>
      <c r="GX55" s="55"/>
      <c r="GY55" s="55"/>
      <c r="GZ55" s="55"/>
      <c r="HA55" s="55"/>
      <c r="HB55" s="55"/>
      <c r="HC55" s="55"/>
      <c r="HD55" s="55"/>
      <c r="HE55" s="55"/>
      <c r="HF55" s="55"/>
      <c r="HG55" s="55"/>
      <c r="HH55" s="55"/>
      <c r="HI55" s="55"/>
      <c r="HJ55" s="55"/>
      <c r="HK55" s="55"/>
      <c r="HL55" s="55"/>
      <c r="HM55" s="55"/>
      <c r="HN55" s="55"/>
    </row>
    <row r="56" spans="1:222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55"/>
      <c r="BJ56" s="55"/>
      <c r="BK56" s="55"/>
      <c r="BL56" s="55"/>
      <c r="BM56" s="55"/>
      <c r="BN56" s="55"/>
      <c r="BO56" s="55"/>
      <c r="BP56" s="55"/>
      <c r="BQ56" s="55"/>
      <c r="BR56" s="55"/>
      <c r="BS56" s="55"/>
      <c r="BT56" s="55"/>
      <c r="BU56" s="55"/>
      <c r="BV56" s="55"/>
      <c r="BW56" s="55"/>
      <c r="BX56" s="55"/>
      <c r="BY56" s="55"/>
      <c r="BZ56" s="55"/>
      <c r="CA56" s="55"/>
      <c r="CB56" s="55"/>
      <c r="CC56" s="55"/>
      <c r="CD56" s="55"/>
      <c r="CE56" s="55"/>
      <c r="CF56" s="55"/>
      <c r="CG56" s="55"/>
      <c r="CH56" s="55"/>
      <c r="CI56" s="55"/>
      <c r="CJ56" s="55"/>
      <c r="CK56" s="55"/>
      <c r="CL56" s="55"/>
      <c r="CM56" s="55"/>
      <c r="CN56" s="55"/>
      <c r="CO56" s="55"/>
      <c r="CP56" s="55"/>
      <c r="CQ56" s="55"/>
      <c r="CR56" s="55"/>
      <c r="CS56" s="55"/>
      <c r="CT56" s="55"/>
      <c r="CU56" s="55"/>
      <c r="CV56" s="55"/>
      <c r="CW56" s="55"/>
      <c r="CX56" s="55"/>
      <c r="CY56" s="55"/>
      <c r="CZ56" s="55"/>
      <c r="DA56" s="55"/>
      <c r="DB56" s="55"/>
      <c r="DC56" s="55"/>
      <c r="DD56" s="55"/>
      <c r="DE56" s="55"/>
      <c r="DF56" s="55"/>
      <c r="DG56" s="55"/>
      <c r="DH56" s="55"/>
      <c r="DI56" s="55"/>
      <c r="DJ56" s="55"/>
      <c r="DK56" s="55"/>
      <c r="DL56" s="55"/>
      <c r="DM56" s="55"/>
      <c r="DN56" s="55"/>
      <c r="DO56" s="55"/>
      <c r="DP56" s="55"/>
      <c r="DQ56" s="55"/>
      <c r="DR56" s="55"/>
      <c r="DS56" s="55"/>
      <c r="DT56" s="55"/>
      <c r="DU56" s="55"/>
      <c r="DV56" s="55"/>
      <c r="DW56" s="55"/>
      <c r="DX56" s="55"/>
      <c r="DY56" s="55"/>
      <c r="DZ56" s="55"/>
      <c r="EA56" s="55"/>
      <c r="EB56" s="55"/>
      <c r="EC56" s="55"/>
      <c r="ED56" s="55"/>
      <c r="EE56" s="55"/>
      <c r="EF56" s="55"/>
      <c r="EG56" s="55"/>
      <c r="EH56" s="55"/>
      <c r="EI56" s="55"/>
      <c r="EJ56" s="55"/>
      <c r="EK56" s="55"/>
      <c r="EL56" s="55"/>
      <c r="EM56" s="55"/>
      <c r="EN56" s="55"/>
      <c r="EO56" s="55"/>
      <c r="EP56" s="55"/>
      <c r="EQ56" s="55"/>
      <c r="ER56" s="55"/>
      <c r="ES56" s="55"/>
      <c r="ET56" s="55"/>
      <c r="EU56" s="55"/>
      <c r="EV56" s="55"/>
      <c r="EW56" s="55"/>
      <c r="EX56" s="55"/>
      <c r="EY56" s="55"/>
      <c r="EZ56" s="55"/>
      <c r="FA56" s="55"/>
      <c r="FB56" s="55"/>
      <c r="FC56" s="55"/>
      <c r="FD56" s="55"/>
      <c r="FE56" s="55"/>
      <c r="FF56" s="55"/>
      <c r="FG56" s="55"/>
      <c r="FH56" s="55"/>
      <c r="FI56" s="55"/>
      <c r="FJ56" s="55"/>
      <c r="FK56" s="55"/>
      <c r="FL56" s="55"/>
      <c r="FM56" s="55"/>
      <c r="FN56" s="55"/>
      <c r="FO56" s="55"/>
      <c r="FP56" s="55"/>
      <c r="FQ56" s="55"/>
      <c r="FR56" s="55"/>
      <c r="FS56" s="55"/>
      <c r="FT56" s="55"/>
      <c r="FU56" s="55"/>
      <c r="FV56" s="55"/>
      <c r="FW56" s="55"/>
      <c r="FX56" s="55"/>
      <c r="FY56" s="55"/>
      <c r="FZ56" s="55"/>
      <c r="GA56" s="55"/>
      <c r="GB56" s="55"/>
      <c r="GC56" s="55"/>
      <c r="GD56" s="55"/>
      <c r="GE56" s="55"/>
      <c r="GF56" s="55"/>
      <c r="GG56" s="55"/>
      <c r="GH56" s="55"/>
      <c r="GI56" s="55"/>
      <c r="GJ56" s="55"/>
      <c r="GK56" s="55"/>
      <c r="GL56" s="55"/>
      <c r="GM56" s="55"/>
      <c r="GN56" s="55"/>
      <c r="GO56" s="55"/>
      <c r="GP56" s="55"/>
      <c r="GQ56" s="55"/>
      <c r="GR56" s="55"/>
      <c r="GS56" s="55"/>
      <c r="GT56" s="55"/>
      <c r="GU56" s="55"/>
      <c r="GV56" s="55"/>
      <c r="GW56" s="55"/>
      <c r="GX56" s="55"/>
      <c r="GY56" s="55"/>
      <c r="GZ56" s="55"/>
      <c r="HA56" s="55"/>
      <c r="HB56" s="55"/>
      <c r="HC56" s="55"/>
      <c r="HD56" s="55"/>
      <c r="HE56" s="55"/>
      <c r="HF56" s="55"/>
      <c r="HG56" s="55"/>
      <c r="HH56" s="55"/>
      <c r="HI56" s="55"/>
      <c r="HJ56" s="55"/>
      <c r="HK56" s="55"/>
      <c r="HL56" s="55"/>
      <c r="HM56" s="55"/>
      <c r="HN56" s="55"/>
    </row>
    <row r="57" spans="1:222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  <c r="BD57" s="55"/>
      <c r="BE57" s="55"/>
      <c r="BF57" s="55"/>
      <c r="BG57" s="55"/>
      <c r="BH57" s="55"/>
      <c r="BI57" s="55"/>
      <c r="BJ57" s="55"/>
      <c r="BK57" s="55"/>
      <c r="BL57" s="55"/>
      <c r="BM57" s="55"/>
      <c r="BN57" s="55"/>
      <c r="BO57" s="55"/>
      <c r="BP57" s="55"/>
      <c r="BQ57" s="55"/>
      <c r="BR57" s="55"/>
      <c r="BS57" s="55"/>
      <c r="BT57" s="55"/>
      <c r="BU57" s="55"/>
      <c r="BV57" s="55"/>
      <c r="BW57" s="55"/>
      <c r="BX57" s="55"/>
      <c r="BY57" s="55"/>
      <c r="BZ57" s="55"/>
      <c r="CA57" s="55"/>
      <c r="CB57" s="55"/>
      <c r="CC57" s="55"/>
      <c r="CD57" s="55"/>
      <c r="CE57" s="55"/>
      <c r="CF57" s="55"/>
      <c r="CG57" s="55"/>
      <c r="CH57" s="55"/>
      <c r="CI57" s="55"/>
      <c r="CJ57" s="55"/>
      <c r="CK57" s="55"/>
      <c r="CL57" s="55"/>
      <c r="CM57" s="55"/>
      <c r="CN57" s="55"/>
      <c r="CO57" s="55"/>
      <c r="CP57" s="55"/>
      <c r="CQ57" s="55"/>
      <c r="CR57" s="55"/>
      <c r="CS57" s="55"/>
      <c r="CT57" s="55"/>
      <c r="CU57" s="55"/>
      <c r="CV57" s="55"/>
      <c r="CW57" s="55"/>
      <c r="CX57" s="55"/>
      <c r="CY57" s="55"/>
      <c r="CZ57" s="55"/>
      <c r="DA57" s="55"/>
      <c r="DB57" s="55"/>
      <c r="DC57" s="55"/>
      <c r="DD57" s="55"/>
      <c r="DE57" s="55"/>
      <c r="DF57" s="55"/>
      <c r="DG57" s="55"/>
      <c r="DH57" s="55"/>
      <c r="DI57" s="55"/>
      <c r="DJ57" s="55"/>
      <c r="DK57" s="55"/>
      <c r="DL57" s="55"/>
      <c r="DM57" s="55"/>
      <c r="DN57" s="55"/>
      <c r="DO57" s="55"/>
      <c r="DP57" s="55"/>
      <c r="DQ57" s="55"/>
      <c r="DR57" s="55"/>
      <c r="DS57" s="55"/>
      <c r="DT57" s="55"/>
      <c r="DU57" s="55"/>
      <c r="DV57" s="55"/>
      <c r="DW57" s="55"/>
      <c r="DX57" s="55"/>
      <c r="DY57" s="55"/>
      <c r="DZ57" s="55"/>
      <c r="EA57" s="55"/>
      <c r="EB57" s="55"/>
      <c r="EC57" s="55"/>
      <c r="ED57" s="55"/>
      <c r="EE57" s="55"/>
      <c r="EF57" s="55"/>
      <c r="EG57" s="55"/>
      <c r="EH57" s="55"/>
      <c r="EI57" s="55"/>
      <c r="EJ57" s="55"/>
      <c r="EK57" s="55"/>
      <c r="EL57" s="55"/>
      <c r="EM57" s="55"/>
      <c r="EN57" s="55"/>
      <c r="EO57" s="55"/>
      <c r="EP57" s="55"/>
      <c r="EQ57" s="55"/>
      <c r="ER57" s="55"/>
      <c r="ES57" s="55"/>
      <c r="ET57" s="55"/>
      <c r="EU57" s="55"/>
      <c r="EV57" s="55"/>
      <c r="EW57" s="55"/>
      <c r="EX57" s="55"/>
      <c r="EY57" s="55"/>
      <c r="EZ57" s="55"/>
      <c r="FA57" s="55"/>
      <c r="FB57" s="55"/>
      <c r="FC57" s="55"/>
      <c r="FD57" s="55"/>
      <c r="FE57" s="55"/>
      <c r="FF57" s="55"/>
      <c r="FG57" s="55"/>
      <c r="FH57" s="55"/>
      <c r="FI57" s="55"/>
      <c r="FJ57" s="55"/>
      <c r="FK57" s="55"/>
      <c r="FL57" s="55"/>
      <c r="FM57" s="55"/>
      <c r="FN57" s="55"/>
      <c r="FO57" s="55"/>
      <c r="FP57" s="55"/>
      <c r="FQ57" s="55"/>
      <c r="FR57" s="55"/>
      <c r="FS57" s="55"/>
      <c r="FT57" s="55"/>
      <c r="FU57" s="55"/>
      <c r="FV57" s="55"/>
      <c r="FW57" s="55"/>
      <c r="FX57" s="55"/>
      <c r="FY57" s="55"/>
      <c r="FZ57" s="55"/>
      <c r="GA57" s="55"/>
      <c r="GB57" s="55"/>
      <c r="GC57" s="55"/>
      <c r="GD57" s="55"/>
      <c r="GE57" s="55"/>
      <c r="GF57" s="55"/>
      <c r="GG57" s="55"/>
      <c r="GH57" s="55"/>
      <c r="GI57" s="55"/>
      <c r="GJ57" s="55"/>
      <c r="GK57" s="55"/>
      <c r="GL57" s="55"/>
      <c r="GM57" s="55"/>
      <c r="GN57" s="55"/>
      <c r="GO57" s="55"/>
      <c r="GP57" s="55"/>
      <c r="GQ57" s="55"/>
      <c r="GR57" s="55"/>
      <c r="GS57" s="55"/>
      <c r="GT57" s="55"/>
      <c r="GU57" s="55"/>
      <c r="GV57" s="55"/>
      <c r="GW57" s="55"/>
      <c r="GX57" s="55"/>
      <c r="GY57" s="55"/>
      <c r="GZ57" s="55"/>
      <c r="HA57" s="55"/>
      <c r="HB57" s="55"/>
      <c r="HC57" s="55"/>
      <c r="HD57" s="55"/>
      <c r="HE57" s="55"/>
      <c r="HF57" s="55"/>
      <c r="HG57" s="55"/>
      <c r="HH57" s="55"/>
      <c r="HI57" s="55"/>
      <c r="HJ57" s="55"/>
      <c r="HK57" s="55"/>
      <c r="HL57" s="55"/>
      <c r="HM57" s="55"/>
      <c r="HN57" s="55"/>
    </row>
    <row r="58" spans="1:222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  <c r="BD58" s="55"/>
      <c r="BE58" s="55"/>
      <c r="BF58" s="55"/>
      <c r="BG58" s="55"/>
      <c r="BH58" s="55"/>
      <c r="BI58" s="55"/>
      <c r="BJ58" s="55"/>
      <c r="BK58" s="55"/>
      <c r="BL58" s="55"/>
      <c r="BM58" s="55"/>
      <c r="BN58" s="55"/>
      <c r="BO58" s="55"/>
      <c r="BP58" s="55"/>
      <c r="BQ58" s="55"/>
      <c r="BR58" s="55"/>
      <c r="BS58" s="55"/>
      <c r="BT58" s="55"/>
      <c r="BU58" s="55"/>
      <c r="BV58" s="55"/>
      <c r="BW58" s="55"/>
      <c r="BX58" s="55"/>
      <c r="BY58" s="55"/>
      <c r="BZ58" s="55"/>
      <c r="CA58" s="55"/>
      <c r="CB58" s="55"/>
      <c r="CC58" s="55"/>
      <c r="CD58" s="55"/>
      <c r="CE58" s="55"/>
      <c r="CF58" s="55"/>
      <c r="CG58" s="55"/>
      <c r="CH58" s="55"/>
      <c r="CI58" s="55"/>
      <c r="CJ58" s="55"/>
      <c r="CK58" s="55"/>
      <c r="CL58" s="55"/>
      <c r="CM58" s="55"/>
      <c r="CN58" s="55"/>
      <c r="CO58" s="55"/>
      <c r="CP58" s="55"/>
      <c r="CQ58" s="55"/>
      <c r="CR58" s="55"/>
      <c r="CS58" s="55"/>
      <c r="CT58" s="55"/>
      <c r="CU58" s="55"/>
      <c r="CV58" s="55"/>
      <c r="CW58" s="55"/>
      <c r="CX58" s="55"/>
      <c r="CY58" s="55"/>
      <c r="CZ58" s="55"/>
      <c r="DA58" s="55"/>
      <c r="DB58" s="55"/>
      <c r="DC58" s="55"/>
      <c r="DD58" s="55"/>
      <c r="DE58" s="55"/>
      <c r="DF58" s="55"/>
      <c r="DG58" s="55"/>
      <c r="DH58" s="55"/>
      <c r="DI58" s="55"/>
      <c r="DJ58" s="55"/>
      <c r="DK58" s="55"/>
      <c r="DL58" s="55"/>
      <c r="DM58" s="55"/>
      <c r="DN58" s="55"/>
      <c r="DO58" s="55"/>
      <c r="DP58" s="55"/>
      <c r="DQ58" s="55"/>
      <c r="DR58" s="55"/>
      <c r="DS58" s="55"/>
      <c r="DT58" s="55"/>
      <c r="DU58" s="55"/>
      <c r="DV58" s="55"/>
      <c r="DW58" s="55"/>
      <c r="DX58" s="55"/>
      <c r="DY58" s="55"/>
      <c r="DZ58" s="55"/>
      <c r="EA58" s="55"/>
      <c r="EB58" s="55"/>
      <c r="EC58" s="55"/>
      <c r="ED58" s="55"/>
      <c r="EE58" s="55"/>
      <c r="EF58" s="55"/>
      <c r="EG58" s="55"/>
      <c r="EH58" s="55"/>
      <c r="EI58" s="55"/>
      <c r="EJ58" s="55"/>
      <c r="EK58" s="55"/>
      <c r="EL58" s="55"/>
      <c r="EM58" s="55"/>
      <c r="EN58" s="55"/>
      <c r="EO58" s="55"/>
      <c r="EP58" s="55"/>
      <c r="EQ58" s="55"/>
      <c r="ER58" s="55"/>
      <c r="ES58" s="55"/>
      <c r="ET58" s="55"/>
      <c r="EU58" s="55"/>
      <c r="EV58" s="55"/>
      <c r="EW58" s="55"/>
      <c r="EX58" s="55"/>
      <c r="EY58" s="55"/>
      <c r="EZ58" s="55"/>
      <c r="FA58" s="55"/>
      <c r="FB58" s="55"/>
      <c r="FC58" s="55"/>
      <c r="FD58" s="55"/>
      <c r="FE58" s="55"/>
      <c r="FF58" s="55"/>
      <c r="FG58" s="55"/>
      <c r="FH58" s="55"/>
      <c r="FI58" s="55"/>
      <c r="FJ58" s="55"/>
      <c r="FK58" s="55"/>
      <c r="FL58" s="55"/>
      <c r="FM58" s="55"/>
      <c r="FN58" s="55"/>
      <c r="FO58" s="55"/>
      <c r="FP58" s="55"/>
      <c r="FQ58" s="55"/>
      <c r="FR58" s="55"/>
      <c r="FS58" s="55"/>
      <c r="FT58" s="55"/>
      <c r="FU58" s="55"/>
      <c r="FV58" s="55"/>
      <c r="FW58" s="55"/>
      <c r="FX58" s="55"/>
      <c r="FY58" s="55"/>
      <c r="FZ58" s="55"/>
      <c r="GA58" s="55"/>
      <c r="GB58" s="55"/>
      <c r="GC58" s="55"/>
      <c r="GD58" s="55"/>
      <c r="GE58" s="55"/>
      <c r="GF58" s="55"/>
      <c r="GG58" s="55"/>
      <c r="GH58" s="55"/>
      <c r="GI58" s="55"/>
      <c r="GJ58" s="55"/>
      <c r="GK58" s="55"/>
      <c r="GL58" s="55"/>
      <c r="GM58" s="55"/>
      <c r="GN58" s="55"/>
      <c r="GO58" s="55"/>
      <c r="GP58" s="55"/>
      <c r="GQ58" s="55"/>
      <c r="GR58" s="55"/>
      <c r="GS58" s="55"/>
      <c r="GT58" s="55"/>
      <c r="GU58" s="55"/>
      <c r="GV58" s="55"/>
      <c r="GW58" s="55"/>
      <c r="GX58" s="55"/>
      <c r="GY58" s="55"/>
      <c r="GZ58" s="55"/>
      <c r="HA58" s="55"/>
      <c r="HB58" s="55"/>
      <c r="HC58" s="55"/>
      <c r="HD58" s="55"/>
      <c r="HE58" s="55"/>
      <c r="HF58" s="55"/>
      <c r="HG58" s="55"/>
      <c r="HH58" s="55"/>
      <c r="HI58" s="55"/>
      <c r="HJ58" s="55"/>
      <c r="HK58" s="55"/>
      <c r="HL58" s="55"/>
      <c r="HM58" s="55"/>
      <c r="HN58" s="55"/>
    </row>
    <row r="59" spans="1:222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/>
      <c r="BD59" s="55"/>
      <c r="BE59" s="55"/>
      <c r="BF59" s="55"/>
      <c r="BG59" s="55"/>
      <c r="BH59" s="55"/>
      <c r="BI59" s="55"/>
      <c r="BJ59" s="55"/>
      <c r="BK59" s="55"/>
      <c r="BL59" s="55"/>
      <c r="BM59" s="55"/>
      <c r="BN59" s="55"/>
      <c r="BO59" s="55"/>
      <c r="BP59" s="55"/>
      <c r="BQ59" s="55"/>
      <c r="BR59" s="55"/>
      <c r="BS59" s="55"/>
      <c r="BT59" s="55"/>
      <c r="BU59" s="55"/>
      <c r="BV59" s="55"/>
      <c r="BW59" s="55"/>
      <c r="BX59" s="55"/>
      <c r="BY59" s="55"/>
      <c r="BZ59" s="55"/>
      <c r="CA59" s="55"/>
      <c r="CB59" s="55"/>
      <c r="CC59" s="55"/>
      <c r="CD59" s="55"/>
      <c r="CE59" s="55"/>
      <c r="CF59" s="55"/>
      <c r="CG59" s="55"/>
      <c r="CH59" s="55"/>
      <c r="CI59" s="55"/>
      <c r="CJ59" s="55"/>
      <c r="CK59" s="55"/>
      <c r="CL59" s="55"/>
      <c r="CM59" s="55"/>
      <c r="CN59" s="55"/>
      <c r="CO59" s="55"/>
      <c r="CP59" s="55"/>
      <c r="CQ59" s="55"/>
      <c r="CR59" s="55"/>
      <c r="CS59" s="55"/>
      <c r="CT59" s="55"/>
      <c r="CU59" s="55"/>
      <c r="CV59" s="55"/>
      <c r="CW59" s="55"/>
      <c r="CX59" s="55"/>
      <c r="CY59" s="55"/>
      <c r="CZ59" s="55"/>
      <c r="DA59" s="55"/>
      <c r="DB59" s="55"/>
      <c r="DC59" s="55"/>
      <c r="DD59" s="55"/>
      <c r="DE59" s="55"/>
      <c r="DF59" s="55"/>
      <c r="DG59" s="55"/>
      <c r="DH59" s="55"/>
      <c r="DI59" s="55"/>
      <c r="DJ59" s="55"/>
      <c r="DK59" s="55"/>
      <c r="DL59" s="55"/>
      <c r="DM59" s="55"/>
      <c r="DN59" s="55"/>
      <c r="DO59" s="55"/>
      <c r="DP59" s="55"/>
      <c r="DQ59" s="55"/>
      <c r="DR59" s="55"/>
      <c r="DS59" s="55"/>
      <c r="DT59" s="55"/>
      <c r="DU59" s="55"/>
      <c r="DV59" s="55"/>
      <c r="DW59" s="55"/>
      <c r="DX59" s="55"/>
      <c r="DY59" s="55"/>
      <c r="DZ59" s="55"/>
      <c r="EA59" s="55"/>
      <c r="EB59" s="55"/>
      <c r="EC59" s="55"/>
      <c r="ED59" s="55"/>
      <c r="EE59" s="55"/>
      <c r="EF59" s="55"/>
      <c r="EG59" s="55"/>
      <c r="EH59" s="55"/>
      <c r="EI59" s="55"/>
      <c r="EJ59" s="55"/>
      <c r="EK59" s="55"/>
      <c r="EL59" s="55"/>
      <c r="EM59" s="55"/>
      <c r="EN59" s="55"/>
      <c r="EO59" s="55"/>
      <c r="EP59" s="55"/>
      <c r="EQ59" s="55"/>
      <c r="ER59" s="55"/>
      <c r="ES59" s="55"/>
      <c r="ET59" s="55"/>
      <c r="EU59" s="55"/>
      <c r="EV59" s="55"/>
      <c r="EW59" s="55"/>
      <c r="EX59" s="55"/>
      <c r="EY59" s="55"/>
      <c r="EZ59" s="55"/>
      <c r="FA59" s="55"/>
      <c r="FB59" s="55"/>
      <c r="FC59" s="55"/>
      <c r="FD59" s="55"/>
      <c r="FE59" s="55"/>
      <c r="FF59" s="55"/>
      <c r="FG59" s="55"/>
      <c r="FH59" s="55"/>
      <c r="FI59" s="55"/>
      <c r="FJ59" s="55"/>
      <c r="FK59" s="55"/>
      <c r="FL59" s="55"/>
      <c r="FM59" s="55"/>
      <c r="FN59" s="55"/>
      <c r="FO59" s="55"/>
      <c r="FP59" s="55"/>
      <c r="FQ59" s="55"/>
      <c r="FR59" s="55"/>
      <c r="FS59" s="55"/>
      <c r="FT59" s="55"/>
      <c r="FU59" s="55"/>
      <c r="FV59" s="55"/>
      <c r="FW59" s="55"/>
      <c r="FX59" s="55"/>
      <c r="FY59" s="55"/>
      <c r="FZ59" s="55"/>
      <c r="GA59" s="55"/>
      <c r="GB59" s="55"/>
      <c r="GC59" s="55"/>
      <c r="GD59" s="55"/>
      <c r="GE59" s="55"/>
      <c r="GF59" s="55"/>
      <c r="GG59" s="55"/>
      <c r="GH59" s="55"/>
      <c r="GI59" s="55"/>
      <c r="GJ59" s="55"/>
      <c r="GK59" s="55"/>
      <c r="GL59" s="55"/>
      <c r="GM59" s="55"/>
      <c r="GN59" s="55"/>
      <c r="GO59" s="55"/>
      <c r="GP59" s="55"/>
      <c r="GQ59" s="55"/>
      <c r="GR59" s="55"/>
      <c r="GS59" s="55"/>
      <c r="GT59" s="55"/>
      <c r="GU59" s="55"/>
      <c r="GV59" s="55"/>
      <c r="GW59" s="55"/>
      <c r="GX59" s="55"/>
      <c r="GY59" s="55"/>
      <c r="GZ59" s="55"/>
      <c r="HA59" s="55"/>
      <c r="HB59" s="55"/>
      <c r="HC59" s="55"/>
      <c r="HD59" s="55"/>
      <c r="HE59" s="55"/>
      <c r="HF59" s="55"/>
      <c r="HG59" s="55"/>
      <c r="HH59" s="55"/>
      <c r="HI59" s="55"/>
      <c r="HJ59" s="55"/>
      <c r="HK59" s="55"/>
      <c r="HL59" s="55"/>
      <c r="HM59" s="55"/>
      <c r="HN59" s="55"/>
    </row>
    <row r="60" spans="1:222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55"/>
      <c r="BF60" s="55"/>
      <c r="BG60" s="55"/>
      <c r="BH60" s="55"/>
      <c r="BI60" s="55"/>
      <c r="BJ60" s="55"/>
      <c r="BK60" s="55"/>
      <c r="BL60" s="55"/>
      <c r="BM60" s="55"/>
      <c r="BN60" s="55"/>
      <c r="BO60" s="55"/>
      <c r="BP60" s="55"/>
      <c r="BQ60" s="55"/>
      <c r="BR60" s="55"/>
      <c r="BS60" s="55"/>
      <c r="BT60" s="55"/>
      <c r="BU60" s="55"/>
      <c r="BV60" s="55"/>
      <c r="BW60" s="55"/>
      <c r="BX60" s="55"/>
      <c r="BY60" s="55"/>
      <c r="BZ60" s="55"/>
      <c r="CA60" s="55"/>
      <c r="CB60" s="55"/>
      <c r="CC60" s="55"/>
      <c r="CD60" s="55"/>
      <c r="CE60" s="55"/>
      <c r="CF60" s="55"/>
      <c r="CG60" s="55"/>
      <c r="CH60" s="55"/>
      <c r="CI60" s="55"/>
      <c r="CJ60" s="55"/>
      <c r="CK60" s="55"/>
      <c r="CL60" s="55"/>
      <c r="CM60" s="55"/>
      <c r="CN60" s="55"/>
      <c r="CO60" s="55"/>
      <c r="CP60" s="55"/>
      <c r="CQ60" s="55"/>
      <c r="CR60" s="55"/>
      <c r="CS60" s="55"/>
      <c r="CT60" s="55"/>
      <c r="CU60" s="55"/>
      <c r="CV60" s="55"/>
      <c r="CW60" s="55"/>
      <c r="CX60" s="55"/>
      <c r="CY60" s="55"/>
      <c r="CZ60" s="55"/>
      <c r="DA60" s="55"/>
      <c r="DB60" s="55"/>
      <c r="DC60" s="55"/>
      <c r="DD60" s="55"/>
      <c r="DE60" s="55"/>
      <c r="DF60" s="55"/>
      <c r="DG60" s="55"/>
      <c r="DH60" s="55"/>
      <c r="DI60" s="55"/>
      <c r="DJ60" s="55"/>
      <c r="DK60" s="55"/>
      <c r="DL60" s="55"/>
      <c r="DM60" s="55"/>
      <c r="DN60" s="55"/>
      <c r="DO60" s="55"/>
      <c r="DP60" s="55"/>
      <c r="DQ60" s="55"/>
      <c r="DR60" s="55"/>
      <c r="DS60" s="55"/>
      <c r="DT60" s="55"/>
      <c r="DU60" s="55"/>
      <c r="DV60" s="55"/>
      <c r="DW60" s="55"/>
      <c r="DX60" s="55"/>
      <c r="DY60" s="55"/>
      <c r="DZ60" s="55"/>
      <c r="EA60" s="55"/>
      <c r="EB60" s="55"/>
      <c r="EC60" s="55"/>
      <c r="ED60" s="55"/>
      <c r="EE60" s="55"/>
      <c r="EF60" s="55"/>
      <c r="EG60" s="55"/>
      <c r="EH60" s="55"/>
      <c r="EI60" s="55"/>
      <c r="EJ60" s="55"/>
      <c r="EK60" s="55"/>
      <c r="EL60" s="55"/>
      <c r="EM60" s="55"/>
      <c r="EN60" s="55"/>
      <c r="EO60" s="55"/>
      <c r="EP60" s="55"/>
      <c r="EQ60" s="55"/>
      <c r="ER60" s="55"/>
      <c r="ES60" s="55"/>
      <c r="ET60" s="55"/>
      <c r="EU60" s="55"/>
      <c r="EV60" s="55"/>
      <c r="EW60" s="55"/>
      <c r="EX60" s="55"/>
      <c r="EY60" s="55"/>
      <c r="EZ60" s="55"/>
      <c r="FA60" s="55"/>
      <c r="FB60" s="55"/>
      <c r="FC60" s="55"/>
      <c r="FD60" s="55"/>
      <c r="FE60" s="55"/>
      <c r="FF60" s="55"/>
      <c r="FG60" s="55"/>
      <c r="FH60" s="55"/>
      <c r="FI60" s="55"/>
      <c r="FJ60" s="55"/>
      <c r="FK60" s="55"/>
      <c r="FL60" s="55"/>
      <c r="FM60" s="55"/>
      <c r="FN60" s="55"/>
      <c r="FO60" s="55"/>
      <c r="FP60" s="55"/>
      <c r="FQ60" s="55"/>
      <c r="FR60" s="55"/>
      <c r="FS60" s="55"/>
      <c r="FT60" s="55"/>
      <c r="FU60" s="55"/>
      <c r="FV60" s="55"/>
      <c r="FW60" s="55"/>
      <c r="FX60" s="55"/>
      <c r="FY60" s="55"/>
      <c r="FZ60" s="55"/>
      <c r="GA60" s="55"/>
      <c r="GB60" s="55"/>
      <c r="GC60" s="55"/>
      <c r="GD60" s="55"/>
      <c r="GE60" s="55"/>
      <c r="GF60" s="55"/>
      <c r="GG60" s="55"/>
      <c r="GH60" s="55"/>
      <c r="GI60" s="55"/>
      <c r="GJ60" s="55"/>
      <c r="GK60" s="55"/>
      <c r="GL60" s="55"/>
      <c r="GM60" s="55"/>
      <c r="GN60" s="55"/>
      <c r="GO60" s="55"/>
      <c r="GP60" s="55"/>
      <c r="GQ60" s="55"/>
      <c r="GR60" s="55"/>
      <c r="GS60" s="55"/>
      <c r="GT60" s="55"/>
      <c r="GU60" s="55"/>
      <c r="GV60" s="55"/>
      <c r="GW60" s="55"/>
      <c r="GX60" s="55"/>
      <c r="GY60" s="55"/>
      <c r="GZ60" s="55"/>
      <c r="HA60" s="55"/>
      <c r="HB60" s="55"/>
      <c r="HC60" s="55"/>
      <c r="HD60" s="55"/>
      <c r="HE60" s="55"/>
      <c r="HF60" s="55"/>
      <c r="HG60" s="55"/>
      <c r="HH60" s="55"/>
      <c r="HI60" s="55"/>
      <c r="HJ60" s="55"/>
      <c r="HK60" s="55"/>
      <c r="HL60" s="55"/>
      <c r="HM60" s="55"/>
      <c r="HN60" s="55"/>
    </row>
    <row r="61" spans="1:222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  <c r="BD61" s="55"/>
      <c r="BE61" s="55"/>
      <c r="BF61" s="55"/>
      <c r="BG61" s="55"/>
      <c r="BH61" s="55"/>
      <c r="BI61" s="55"/>
      <c r="BJ61" s="55"/>
      <c r="BK61" s="55"/>
      <c r="BL61" s="55"/>
      <c r="BM61" s="55"/>
      <c r="BN61" s="55"/>
      <c r="BO61" s="55"/>
      <c r="BP61" s="55"/>
      <c r="BQ61" s="55"/>
      <c r="BR61" s="55"/>
      <c r="BS61" s="55"/>
      <c r="BT61" s="55"/>
      <c r="BU61" s="55"/>
      <c r="BV61" s="55"/>
      <c r="BW61" s="55"/>
      <c r="BX61" s="55"/>
      <c r="BY61" s="55"/>
      <c r="BZ61" s="55"/>
      <c r="CA61" s="55"/>
      <c r="CB61" s="55"/>
      <c r="CC61" s="55"/>
      <c r="CD61" s="55"/>
      <c r="CE61" s="55"/>
      <c r="CF61" s="55"/>
      <c r="CG61" s="55"/>
      <c r="CH61" s="55"/>
      <c r="CI61" s="55"/>
      <c r="CJ61" s="55"/>
      <c r="CK61" s="55"/>
      <c r="CL61" s="55"/>
      <c r="CM61" s="55"/>
      <c r="CN61" s="55"/>
      <c r="CO61" s="55"/>
      <c r="CP61" s="55"/>
      <c r="CQ61" s="55"/>
      <c r="CR61" s="55"/>
      <c r="CS61" s="55"/>
      <c r="CT61" s="55"/>
      <c r="CU61" s="55"/>
      <c r="CV61" s="55"/>
      <c r="CW61" s="55"/>
      <c r="CX61" s="55"/>
      <c r="CY61" s="55"/>
      <c r="CZ61" s="55"/>
      <c r="DA61" s="55"/>
      <c r="DB61" s="55"/>
      <c r="DC61" s="55"/>
      <c r="DD61" s="55"/>
      <c r="DE61" s="55"/>
      <c r="DF61" s="55"/>
      <c r="DG61" s="55"/>
      <c r="DH61" s="55"/>
      <c r="DI61" s="55"/>
      <c r="DJ61" s="55"/>
      <c r="DK61" s="55"/>
      <c r="DL61" s="55"/>
      <c r="DM61" s="55"/>
      <c r="DN61" s="55"/>
      <c r="DO61" s="55"/>
      <c r="DP61" s="55"/>
      <c r="DQ61" s="55"/>
      <c r="DR61" s="55"/>
      <c r="DS61" s="55"/>
      <c r="DT61" s="55"/>
      <c r="DU61" s="55"/>
      <c r="DV61" s="55"/>
      <c r="DW61" s="55"/>
      <c r="DX61" s="55"/>
      <c r="DY61" s="55"/>
      <c r="DZ61" s="55"/>
      <c r="EA61" s="55"/>
      <c r="EB61" s="55"/>
      <c r="EC61" s="55"/>
      <c r="ED61" s="55"/>
      <c r="EE61" s="55"/>
      <c r="EF61" s="55"/>
      <c r="EG61" s="55"/>
      <c r="EH61" s="55"/>
      <c r="EI61" s="55"/>
      <c r="EJ61" s="55"/>
      <c r="EK61" s="55"/>
      <c r="EL61" s="55"/>
      <c r="EM61" s="55"/>
      <c r="EN61" s="55"/>
      <c r="EO61" s="55"/>
      <c r="EP61" s="55"/>
      <c r="EQ61" s="55"/>
      <c r="ER61" s="55"/>
      <c r="ES61" s="55"/>
      <c r="ET61" s="55"/>
      <c r="EU61" s="55"/>
      <c r="EV61" s="55"/>
      <c r="EW61" s="55"/>
      <c r="EX61" s="55"/>
      <c r="EY61" s="55"/>
      <c r="EZ61" s="55"/>
      <c r="FA61" s="55"/>
      <c r="FB61" s="55"/>
      <c r="FC61" s="55"/>
      <c r="FD61" s="55"/>
      <c r="FE61" s="55"/>
      <c r="FF61" s="55"/>
      <c r="FG61" s="55"/>
      <c r="FH61" s="55"/>
      <c r="FI61" s="55"/>
      <c r="FJ61" s="55"/>
      <c r="FK61" s="55"/>
      <c r="FL61" s="55"/>
      <c r="FM61" s="55"/>
      <c r="FN61" s="55"/>
      <c r="FO61" s="55"/>
      <c r="FP61" s="55"/>
      <c r="FQ61" s="55"/>
      <c r="FR61" s="55"/>
      <c r="FS61" s="55"/>
      <c r="FT61" s="55"/>
      <c r="FU61" s="55"/>
      <c r="FV61" s="55"/>
      <c r="FW61" s="55"/>
      <c r="FX61" s="55"/>
      <c r="FY61" s="55"/>
      <c r="FZ61" s="55"/>
      <c r="GA61" s="55"/>
      <c r="GB61" s="55"/>
      <c r="GC61" s="55"/>
      <c r="GD61" s="55"/>
      <c r="GE61" s="55"/>
      <c r="GF61" s="55"/>
      <c r="GG61" s="55"/>
      <c r="GH61" s="55"/>
      <c r="GI61" s="55"/>
      <c r="GJ61" s="55"/>
      <c r="GK61" s="55"/>
      <c r="GL61" s="55"/>
      <c r="GM61" s="55"/>
      <c r="GN61" s="55"/>
      <c r="GO61" s="55"/>
      <c r="GP61" s="55"/>
      <c r="GQ61" s="55"/>
      <c r="GR61" s="55"/>
      <c r="GS61" s="55"/>
      <c r="GT61" s="55"/>
      <c r="GU61" s="55"/>
      <c r="GV61" s="55"/>
      <c r="GW61" s="55"/>
      <c r="GX61" s="55"/>
      <c r="GY61" s="55"/>
      <c r="GZ61" s="55"/>
      <c r="HA61" s="55"/>
      <c r="HB61" s="55"/>
      <c r="HC61" s="55"/>
      <c r="HD61" s="55"/>
      <c r="HE61" s="55"/>
      <c r="HF61" s="55"/>
      <c r="HG61" s="55"/>
      <c r="HH61" s="55"/>
      <c r="HI61" s="55"/>
      <c r="HJ61" s="55"/>
      <c r="HK61" s="55"/>
      <c r="HL61" s="55"/>
      <c r="HM61" s="55"/>
      <c r="HN61" s="55"/>
    </row>
    <row r="62" spans="1:222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  <c r="BD62" s="55"/>
      <c r="BE62" s="55"/>
      <c r="BF62" s="55"/>
      <c r="BG62" s="55"/>
      <c r="BH62" s="55"/>
      <c r="BI62" s="55"/>
      <c r="BJ62" s="55"/>
      <c r="BK62" s="55"/>
      <c r="BL62" s="55"/>
      <c r="BM62" s="55"/>
      <c r="BN62" s="55"/>
      <c r="BO62" s="55"/>
      <c r="BP62" s="55"/>
      <c r="BQ62" s="55"/>
      <c r="BR62" s="55"/>
      <c r="BS62" s="55"/>
      <c r="BT62" s="55"/>
      <c r="BU62" s="55"/>
      <c r="BV62" s="55"/>
      <c r="BW62" s="55"/>
      <c r="BX62" s="55"/>
      <c r="BY62" s="55"/>
      <c r="BZ62" s="55"/>
      <c r="CA62" s="55"/>
      <c r="CB62" s="55"/>
      <c r="CC62" s="55"/>
      <c r="CD62" s="55"/>
      <c r="CE62" s="55"/>
      <c r="CF62" s="55"/>
      <c r="CG62" s="55"/>
      <c r="CH62" s="55"/>
      <c r="CI62" s="55"/>
      <c r="CJ62" s="55"/>
      <c r="CK62" s="55"/>
      <c r="CL62" s="55"/>
      <c r="CM62" s="55"/>
      <c r="CN62" s="55"/>
      <c r="CO62" s="55"/>
      <c r="CP62" s="55"/>
      <c r="CQ62" s="55"/>
      <c r="CR62" s="55"/>
      <c r="CS62" s="55"/>
      <c r="CT62" s="55"/>
      <c r="CU62" s="55"/>
      <c r="CV62" s="55"/>
      <c r="CW62" s="55"/>
      <c r="CX62" s="55"/>
      <c r="CY62" s="55"/>
      <c r="CZ62" s="55"/>
      <c r="DA62" s="55"/>
      <c r="DB62" s="55"/>
      <c r="DC62" s="55"/>
      <c r="DD62" s="55"/>
      <c r="DE62" s="55"/>
      <c r="DF62" s="55"/>
      <c r="DG62" s="55"/>
      <c r="DH62" s="55"/>
      <c r="DI62" s="55"/>
      <c r="DJ62" s="55"/>
      <c r="DK62" s="55"/>
      <c r="DL62" s="55"/>
      <c r="DM62" s="55"/>
      <c r="DN62" s="55"/>
      <c r="DO62" s="55"/>
      <c r="DP62" s="55"/>
      <c r="DQ62" s="55"/>
      <c r="DR62" s="55"/>
      <c r="DS62" s="55"/>
      <c r="DT62" s="55"/>
      <c r="DU62" s="55"/>
      <c r="DV62" s="55"/>
      <c r="DW62" s="55"/>
      <c r="DX62" s="55"/>
      <c r="DY62" s="55"/>
      <c r="DZ62" s="55"/>
      <c r="EA62" s="55"/>
      <c r="EB62" s="55"/>
      <c r="EC62" s="55"/>
      <c r="ED62" s="55"/>
      <c r="EE62" s="55"/>
      <c r="EF62" s="55"/>
      <c r="EG62" s="55"/>
      <c r="EH62" s="55"/>
      <c r="EI62" s="55"/>
      <c r="EJ62" s="55"/>
      <c r="EK62" s="55"/>
      <c r="EL62" s="55"/>
      <c r="EM62" s="55"/>
      <c r="EN62" s="55"/>
      <c r="EO62" s="55"/>
      <c r="EP62" s="55"/>
      <c r="EQ62" s="55"/>
      <c r="ER62" s="55"/>
      <c r="ES62" s="55"/>
      <c r="ET62" s="55"/>
      <c r="EU62" s="55"/>
      <c r="EV62" s="55"/>
      <c r="EW62" s="55"/>
      <c r="EX62" s="55"/>
      <c r="EY62" s="55"/>
      <c r="EZ62" s="55"/>
      <c r="FA62" s="55"/>
      <c r="FB62" s="55"/>
      <c r="FC62" s="55"/>
      <c r="FD62" s="55"/>
      <c r="FE62" s="55"/>
      <c r="FF62" s="55"/>
      <c r="FG62" s="55"/>
      <c r="FH62" s="55"/>
      <c r="FI62" s="55"/>
      <c r="FJ62" s="55"/>
      <c r="FK62" s="55"/>
      <c r="FL62" s="55"/>
      <c r="FM62" s="55"/>
      <c r="FN62" s="55"/>
      <c r="FO62" s="55"/>
      <c r="FP62" s="55"/>
      <c r="FQ62" s="55"/>
      <c r="FR62" s="55"/>
      <c r="FS62" s="55"/>
      <c r="FT62" s="55"/>
      <c r="FU62" s="55"/>
      <c r="FV62" s="55"/>
      <c r="FW62" s="55"/>
      <c r="FX62" s="55"/>
      <c r="FY62" s="55"/>
      <c r="FZ62" s="55"/>
      <c r="GA62" s="55"/>
      <c r="GB62" s="55"/>
      <c r="GC62" s="55"/>
      <c r="GD62" s="55"/>
      <c r="GE62" s="55"/>
      <c r="GF62" s="55"/>
      <c r="GG62" s="55"/>
      <c r="GH62" s="55"/>
      <c r="GI62" s="55"/>
      <c r="GJ62" s="55"/>
      <c r="GK62" s="55"/>
      <c r="GL62" s="55"/>
      <c r="GM62" s="55"/>
      <c r="GN62" s="55"/>
      <c r="GO62" s="55"/>
      <c r="GP62" s="55"/>
      <c r="GQ62" s="55"/>
      <c r="GR62" s="55"/>
      <c r="GS62" s="55"/>
      <c r="GT62" s="55"/>
      <c r="GU62" s="55"/>
      <c r="GV62" s="55"/>
      <c r="GW62" s="55"/>
      <c r="GX62" s="55"/>
      <c r="GY62" s="55"/>
      <c r="GZ62" s="55"/>
      <c r="HA62" s="55"/>
      <c r="HB62" s="55"/>
      <c r="HC62" s="55"/>
      <c r="HD62" s="55"/>
      <c r="HE62" s="55"/>
      <c r="HF62" s="55"/>
      <c r="HG62" s="55"/>
      <c r="HH62" s="55"/>
      <c r="HI62" s="55"/>
      <c r="HJ62" s="55"/>
      <c r="HK62" s="55"/>
      <c r="HL62" s="55"/>
      <c r="HM62" s="55"/>
      <c r="HN62" s="55"/>
    </row>
    <row r="63" spans="1:222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  <c r="BD63" s="55"/>
      <c r="BE63" s="55"/>
      <c r="BF63" s="55"/>
      <c r="BG63" s="55"/>
      <c r="BH63" s="55"/>
      <c r="BI63" s="55"/>
      <c r="BJ63" s="55"/>
      <c r="BK63" s="55"/>
      <c r="BL63" s="55"/>
      <c r="BM63" s="55"/>
      <c r="BN63" s="55"/>
      <c r="BO63" s="55"/>
      <c r="BP63" s="55"/>
      <c r="BQ63" s="55"/>
      <c r="BR63" s="55"/>
      <c r="BS63" s="55"/>
      <c r="BT63" s="55"/>
      <c r="BU63" s="55"/>
      <c r="BV63" s="55"/>
      <c r="BW63" s="55"/>
      <c r="BX63" s="55"/>
      <c r="BY63" s="55"/>
      <c r="BZ63" s="55"/>
      <c r="CA63" s="55"/>
      <c r="CB63" s="55"/>
      <c r="CC63" s="55"/>
      <c r="CD63" s="55"/>
      <c r="CE63" s="55"/>
      <c r="CF63" s="55"/>
      <c r="CG63" s="55"/>
      <c r="CH63" s="55"/>
      <c r="CI63" s="55"/>
      <c r="CJ63" s="55"/>
      <c r="CK63" s="55"/>
      <c r="CL63" s="55"/>
      <c r="CM63" s="55"/>
      <c r="CN63" s="55"/>
      <c r="CO63" s="55"/>
      <c r="CP63" s="55"/>
      <c r="CQ63" s="55"/>
      <c r="CR63" s="55"/>
      <c r="CS63" s="55"/>
      <c r="CT63" s="55"/>
      <c r="CU63" s="55"/>
      <c r="CV63" s="55"/>
      <c r="CW63" s="55"/>
      <c r="CX63" s="55"/>
      <c r="CY63" s="55"/>
      <c r="CZ63" s="55"/>
      <c r="DA63" s="55"/>
      <c r="DB63" s="55"/>
      <c r="DC63" s="55"/>
      <c r="DD63" s="55"/>
      <c r="DE63" s="55"/>
      <c r="DF63" s="55"/>
      <c r="DG63" s="55"/>
      <c r="DH63" s="55"/>
      <c r="DI63" s="55"/>
      <c r="DJ63" s="55"/>
      <c r="DK63" s="55"/>
      <c r="DL63" s="55"/>
      <c r="DM63" s="55"/>
      <c r="DN63" s="55"/>
      <c r="DO63" s="55"/>
      <c r="DP63" s="55"/>
      <c r="DQ63" s="55"/>
      <c r="DR63" s="55"/>
      <c r="DS63" s="55"/>
      <c r="DT63" s="55"/>
      <c r="DU63" s="55"/>
      <c r="DV63" s="55"/>
      <c r="DW63" s="55"/>
      <c r="DX63" s="55"/>
      <c r="DY63" s="55"/>
      <c r="DZ63" s="55"/>
      <c r="EA63" s="55"/>
      <c r="EB63" s="55"/>
      <c r="EC63" s="55"/>
      <c r="ED63" s="55"/>
      <c r="EE63" s="55"/>
      <c r="EF63" s="55"/>
      <c r="EG63" s="55"/>
      <c r="EH63" s="55"/>
      <c r="EI63" s="55"/>
      <c r="EJ63" s="55"/>
      <c r="EK63" s="55"/>
      <c r="EL63" s="55"/>
      <c r="EM63" s="55"/>
      <c r="EN63" s="55"/>
      <c r="EO63" s="55"/>
      <c r="EP63" s="55"/>
      <c r="EQ63" s="55"/>
      <c r="ER63" s="55"/>
      <c r="ES63" s="55"/>
      <c r="ET63" s="55"/>
      <c r="EU63" s="55"/>
      <c r="EV63" s="55"/>
      <c r="EW63" s="55"/>
      <c r="EX63" s="55"/>
      <c r="EY63" s="55"/>
      <c r="EZ63" s="55"/>
      <c r="FA63" s="55"/>
      <c r="FB63" s="55"/>
      <c r="FC63" s="55"/>
      <c r="FD63" s="55"/>
      <c r="FE63" s="55"/>
      <c r="FF63" s="55"/>
      <c r="FG63" s="55"/>
      <c r="FH63" s="55"/>
      <c r="FI63" s="55"/>
      <c r="FJ63" s="55"/>
      <c r="FK63" s="55"/>
      <c r="FL63" s="55"/>
      <c r="FM63" s="55"/>
      <c r="FN63" s="55"/>
      <c r="FO63" s="55"/>
      <c r="FP63" s="55"/>
      <c r="FQ63" s="55"/>
      <c r="FR63" s="55"/>
      <c r="FS63" s="55"/>
      <c r="FT63" s="55"/>
      <c r="FU63" s="55"/>
      <c r="FV63" s="55"/>
      <c r="FW63" s="55"/>
      <c r="FX63" s="55"/>
      <c r="FY63" s="55"/>
      <c r="FZ63" s="55"/>
      <c r="GA63" s="55"/>
      <c r="GB63" s="55"/>
      <c r="GC63" s="55"/>
      <c r="GD63" s="55"/>
      <c r="GE63" s="55"/>
      <c r="GF63" s="55"/>
      <c r="GG63" s="55"/>
      <c r="GH63" s="55"/>
      <c r="GI63" s="55"/>
      <c r="GJ63" s="55"/>
      <c r="GK63" s="55"/>
      <c r="GL63" s="55"/>
      <c r="GM63" s="55"/>
      <c r="GN63" s="55"/>
      <c r="GO63" s="55"/>
      <c r="GP63" s="55"/>
      <c r="GQ63" s="55"/>
      <c r="GR63" s="55"/>
      <c r="GS63" s="55"/>
      <c r="GT63" s="55"/>
      <c r="GU63" s="55"/>
      <c r="GV63" s="55"/>
      <c r="GW63" s="55"/>
      <c r="GX63" s="55"/>
      <c r="GY63" s="55"/>
      <c r="GZ63" s="55"/>
      <c r="HA63" s="55"/>
      <c r="HB63" s="55"/>
      <c r="HC63" s="55"/>
      <c r="HD63" s="55"/>
      <c r="HE63" s="55"/>
      <c r="HF63" s="55"/>
      <c r="HG63" s="55"/>
      <c r="HH63" s="55"/>
      <c r="HI63" s="55"/>
      <c r="HJ63" s="55"/>
      <c r="HK63" s="55"/>
      <c r="HL63" s="55"/>
      <c r="HM63" s="55"/>
      <c r="HN63" s="55"/>
    </row>
    <row r="64" spans="1:222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/>
      <c r="BD64" s="55"/>
      <c r="BE64" s="55"/>
      <c r="BF64" s="55"/>
      <c r="BG64" s="55"/>
      <c r="BH64" s="55"/>
      <c r="BI64" s="55"/>
      <c r="BJ64" s="55"/>
      <c r="BK64" s="55"/>
      <c r="BL64" s="55"/>
      <c r="BM64" s="55"/>
      <c r="BN64" s="55"/>
      <c r="BO64" s="55"/>
      <c r="BP64" s="55"/>
      <c r="BQ64" s="55"/>
      <c r="BR64" s="55"/>
      <c r="BS64" s="55"/>
      <c r="BT64" s="55"/>
      <c r="BU64" s="55"/>
      <c r="BV64" s="55"/>
      <c r="BW64" s="55"/>
      <c r="BX64" s="55"/>
      <c r="BY64" s="55"/>
      <c r="BZ64" s="55"/>
      <c r="CA64" s="55"/>
      <c r="CB64" s="55"/>
      <c r="CC64" s="55"/>
      <c r="CD64" s="55"/>
      <c r="CE64" s="55"/>
      <c r="CF64" s="55"/>
      <c r="CG64" s="55"/>
      <c r="CH64" s="55"/>
      <c r="CI64" s="55"/>
      <c r="CJ64" s="55"/>
      <c r="CK64" s="55"/>
      <c r="CL64" s="55"/>
      <c r="CM64" s="55"/>
      <c r="CN64" s="55"/>
      <c r="CO64" s="55"/>
      <c r="CP64" s="55"/>
      <c r="CQ64" s="55"/>
      <c r="CR64" s="55"/>
      <c r="CS64" s="55"/>
      <c r="CT64" s="55"/>
      <c r="CU64" s="55"/>
      <c r="CV64" s="55"/>
      <c r="CW64" s="55"/>
      <c r="CX64" s="55"/>
      <c r="CY64" s="55"/>
      <c r="CZ64" s="55"/>
      <c r="DA64" s="55"/>
      <c r="DB64" s="55"/>
      <c r="DC64" s="55"/>
      <c r="DD64" s="55"/>
      <c r="DE64" s="55"/>
      <c r="DF64" s="55"/>
      <c r="DG64" s="55"/>
      <c r="DH64" s="55"/>
      <c r="DI64" s="55"/>
      <c r="DJ64" s="55"/>
      <c r="DK64" s="55"/>
      <c r="DL64" s="55"/>
      <c r="DM64" s="55"/>
      <c r="DN64" s="55"/>
      <c r="DO64" s="55"/>
      <c r="DP64" s="55"/>
      <c r="DQ64" s="55"/>
      <c r="DR64" s="55"/>
      <c r="DS64" s="55"/>
      <c r="DT64" s="55"/>
      <c r="DU64" s="55"/>
      <c r="DV64" s="55"/>
      <c r="DW64" s="55"/>
      <c r="DX64" s="55"/>
      <c r="DY64" s="55"/>
      <c r="DZ64" s="55"/>
      <c r="EA64" s="55"/>
      <c r="EB64" s="55"/>
      <c r="EC64" s="55"/>
      <c r="ED64" s="55"/>
      <c r="EE64" s="55"/>
      <c r="EF64" s="55"/>
      <c r="EG64" s="55"/>
      <c r="EH64" s="55"/>
      <c r="EI64" s="55"/>
      <c r="EJ64" s="55"/>
      <c r="EK64" s="55"/>
      <c r="EL64" s="55"/>
      <c r="EM64" s="55"/>
      <c r="EN64" s="55"/>
      <c r="EO64" s="55"/>
      <c r="EP64" s="55"/>
      <c r="EQ64" s="55"/>
      <c r="ER64" s="55"/>
      <c r="ES64" s="55"/>
      <c r="ET64" s="55"/>
      <c r="EU64" s="55"/>
      <c r="EV64" s="55"/>
      <c r="EW64" s="55"/>
      <c r="EX64" s="55"/>
      <c r="EY64" s="55"/>
      <c r="EZ64" s="55"/>
      <c r="FA64" s="55"/>
      <c r="FB64" s="55"/>
      <c r="FC64" s="55"/>
      <c r="FD64" s="55"/>
      <c r="FE64" s="55"/>
      <c r="FF64" s="55"/>
      <c r="FG64" s="55"/>
      <c r="FH64" s="55"/>
      <c r="FI64" s="55"/>
      <c r="FJ64" s="55"/>
      <c r="FK64" s="55"/>
      <c r="FL64" s="55"/>
      <c r="FM64" s="55"/>
      <c r="FN64" s="55"/>
      <c r="FO64" s="55"/>
      <c r="FP64" s="55"/>
      <c r="FQ64" s="55"/>
      <c r="FR64" s="55"/>
      <c r="FS64" s="55"/>
      <c r="FT64" s="55"/>
      <c r="FU64" s="55"/>
      <c r="FV64" s="55"/>
      <c r="FW64" s="55"/>
      <c r="FX64" s="55"/>
      <c r="FY64" s="55"/>
      <c r="FZ64" s="55"/>
      <c r="GA64" s="55"/>
      <c r="GB64" s="55"/>
      <c r="GC64" s="55"/>
      <c r="GD64" s="55"/>
      <c r="GE64" s="55"/>
      <c r="GF64" s="55"/>
      <c r="GG64" s="55"/>
      <c r="GH64" s="55"/>
      <c r="GI64" s="55"/>
      <c r="GJ64" s="55"/>
      <c r="GK64" s="55"/>
      <c r="GL64" s="55"/>
      <c r="GM64" s="55"/>
      <c r="GN64" s="55"/>
      <c r="GO64" s="55"/>
      <c r="GP64" s="55"/>
      <c r="GQ64" s="55"/>
      <c r="GR64" s="55"/>
      <c r="GS64" s="55"/>
      <c r="GT64" s="55"/>
      <c r="GU64" s="55"/>
      <c r="GV64" s="55"/>
      <c r="GW64" s="55"/>
      <c r="GX64" s="55"/>
      <c r="GY64" s="55"/>
      <c r="GZ64" s="55"/>
      <c r="HA64" s="55"/>
      <c r="HB64" s="55"/>
      <c r="HC64" s="55"/>
      <c r="HD64" s="55"/>
      <c r="HE64" s="55"/>
      <c r="HF64" s="55"/>
      <c r="HG64" s="55"/>
      <c r="HH64" s="55"/>
      <c r="HI64" s="55"/>
      <c r="HJ64" s="55"/>
      <c r="HK64" s="55"/>
      <c r="HL64" s="55"/>
      <c r="HM64" s="55"/>
      <c r="HN64" s="55"/>
    </row>
    <row r="65" spans="1:222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  <c r="BD65" s="55"/>
      <c r="BE65" s="55"/>
      <c r="BF65" s="55"/>
      <c r="BG65" s="55"/>
      <c r="BH65" s="55"/>
      <c r="BI65" s="55"/>
      <c r="BJ65" s="55"/>
      <c r="BK65" s="55"/>
      <c r="BL65" s="55"/>
      <c r="BM65" s="55"/>
      <c r="BN65" s="55"/>
      <c r="BO65" s="55"/>
      <c r="BP65" s="55"/>
      <c r="BQ65" s="55"/>
      <c r="BR65" s="55"/>
      <c r="BS65" s="55"/>
      <c r="BT65" s="55"/>
      <c r="BU65" s="55"/>
      <c r="BV65" s="55"/>
      <c r="BW65" s="55"/>
      <c r="BX65" s="55"/>
      <c r="BY65" s="55"/>
      <c r="BZ65" s="55"/>
      <c r="CA65" s="55"/>
      <c r="CB65" s="55"/>
      <c r="CC65" s="55"/>
      <c r="CD65" s="55"/>
      <c r="CE65" s="55"/>
      <c r="CF65" s="55"/>
      <c r="CG65" s="55"/>
      <c r="CH65" s="55"/>
      <c r="CI65" s="55"/>
      <c r="CJ65" s="55"/>
      <c r="CK65" s="55"/>
      <c r="CL65" s="55"/>
      <c r="CM65" s="55"/>
      <c r="CN65" s="55"/>
      <c r="CO65" s="55"/>
      <c r="CP65" s="55"/>
      <c r="CQ65" s="55"/>
      <c r="CR65" s="55"/>
      <c r="CS65" s="55"/>
      <c r="CT65" s="55"/>
      <c r="CU65" s="55"/>
      <c r="CV65" s="55"/>
      <c r="CW65" s="55"/>
      <c r="CX65" s="55"/>
      <c r="CY65" s="55"/>
      <c r="CZ65" s="55"/>
      <c r="DA65" s="55"/>
      <c r="DB65" s="55"/>
      <c r="DC65" s="55"/>
      <c r="DD65" s="55"/>
      <c r="DE65" s="55"/>
      <c r="DF65" s="55"/>
      <c r="DG65" s="55"/>
      <c r="DH65" s="55"/>
      <c r="DI65" s="55"/>
      <c r="DJ65" s="55"/>
      <c r="DK65" s="55"/>
      <c r="DL65" s="55"/>
      <c r="DM65" s="55"/>
      <c r="DN65" s="55"/>
      <c r="DO65" s="55"/>
      <c r="DP65" s="55"/>
      <c r="DQ65" s="55"/>
      <c r="DR65" s="55"/>
      <c r="DS65" s="55"/>
      <c r="DT65" s="55"/>
      <c r="DU65" s="55"/>
      <c r="DV65" s="55"/>
      <c r="DW65" s="55"/>
      <c r="DX65" s="55"/>
      <c r="DY65" s="55"/>
      <c r="DZ65" s="55"/>
      <c r="EA65" s="55"/>
      <c r="EB65" s="55"/>
      <c r="EC65" s="55"/>
      <c r="ED65" s="55"/>
      <c r="EE65" s="55"/>
      <c r="EF65" s="55"/>
      <c r="EG65" s="55"/>
      <c r="EH65" s="55"/>
      <c r="EI65" s="55"/>
      <c r="EJ65" s="55"/>
      <c r="EK65" s="55"/>
      <c r="EL65" s="55"/>
      <c r="EM65" s="55"/>
      <c r="EN65" s="55"/>
      <c r="EO65" s="55"/>
      <c r="EP65" s="55"/>
      <c r="EQ65" s="55"/>
      <c r="ER65" s="55"/>
      <c r="ES65" s="55"/>
      <c r="ET65" s="55"/>
      <c r="EU65" s="55"/>
      <c r="EV65" s="55"/>
      <c r="EW65" s="55"/>
      <c r="EX65" s="55"/>
      <c r="EY65" s="55"/>
      <c r="EZ65" s="55"/>
      <c r="FA65" s="55"/>
      <c r="FB65" s="55"/>
      <c r="FC65" s="55"/>
      <c r="FD65" s="55"/>
      <c r="FE65" s="55"/>
      <c r="FF65" s="55"/>
      <c r="FG65" s="55"/>
      <c r="FH65" s="55"/>
      <c r="FI65" s="55"/>
      <c r="FJ65" s="55"/>
      <c r="FK65" s="55"/>
      <c r="FL65" s="55"/>
      <c r="FM65" s="55"/>
      <c r="FN65" s="55"/>
      <c r="FO65" s="55"/>
      <c r="FP65" s="55"/>
      <c r="FQ65" s="55"/>
      <c r="FR65" s="55"/>
      <c r="FS65" s="55"/>
      <c r="FT65" s="55"/>
      <c r="FU65" s="55"/>
      <c r="FV65" s="55"/>
      <c r="FW65" s="55"/>
      <c r="FX65" s="55"/>
      <c r="FY65" s="55"/>
      <c r="FZ65" s="55"/>
      <c r="GA65" s="55"/>
      <c r="GB65" s="55"/>
      <c r="GC65" s="55"/>
      <c r="GD65" s="55"/>
      <c r="GE65" s="55"/>
      <c r="GF65" s="55"/>
      <c r="GG65" s="55"/>
      <c r="GH65" s="55"/>
      <c r="GI65" s="55"/>
      <c r="GJ65" s="55"/>
      <c r="GK65" s="55"/>
      <c r="GL65" s="55"/>
      <c r="GM65" s="55"/>
      <c r="GN65" s="55"/>
      <c r="GO65" s="55"/>
      <c r="GP65" s="55"/>
      <c r="GQ65" s="55"/>
      <c r="GR65" s="55"/>
      <c r="GS65" s="55"/>
      <c r="GT65" s="55"/>
      <c r="GU65" s="55"/>
      <c r="GV65" s="55"/>
      <c r="GW65" s="55"/>
      <c r="GX65" s="55"/>
      <c r="GY65" s="55"/>
      <c r="GZ65" s="55"/>
      <c r="HA65" s="55"/>
      <c r="HB65" s="55"/>
      <c r="HC65" s="55"/>
      <c r="HD65" s="55"/>
      <c r="HE65" s="55"/>
      <c r="HF65" s="55"/>
      <c r="HG65" s="55"/>
      <c r="HH65" s="55"/>
      <c r="HI65" s="55"/>
      <c r="HJ65" s="55"/>
      <c r="HK65" s="55"/>
      <c r="HL65" s="55"/>
      <c r="HM65" s="55"/>
      <c r="HN65" s="55"/>
    </row>
    <row r="66" spans="1:222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  <c r="BD66" s="55"/>
      <c r="BE66" s="55"/>
      <c r="BF66" s="55"/>
      <c r="BG66" s="55"/>
      <c r="BH66" s="55"/>
      <c r="BI66" s="55"/>
      <c r="BJ66" s="55"/>
      <c r="BK66" s="55"/>
      <c r="BL66" s="55"/>
      <c r="BM66" s="55"/>
      <c r="BN66" s="55"/>
      <c r="BO66" s="55"/>
      <c r="BP66" s="55"/>
      <c r="BQ66" s="55"/>
      <c r="BR66" s="55"/>
      <c r="BS66" s="55"/>
      <c r="BT66" s="55"/>
      <c r="BU66" s="55"/>
      <c r="BV66" s="55"/>
      <c r="BW66" s="55"/>
      <c r="BX66" s="55"/>
      <c r="BY66" s="55"/>
      <c r="BZ66" s="55"/>
      <c r="CA66" s="55"/>
      <c r="CB66" s="55"/>
      <c r="CC66" s="55"/>
      <c r="CD66" s="55"/>
      <c r="CE66" s="55"/>
      <c r="CF66" s="55"/>
      <c r="CG66" s="55"/>
      <c r="CH66" s="55"/>
      <c r="CI66" s="55"/>
      <c r="CJ66" s="55"/>
      <c r="CK66" s="55"/>
      <c r="CL66" s="55"/>
      <c r="CM66" s="55"/>
      <c r="CN66" s="55"/>
      <c r="CO66" s="55"/>
      <c r="CP66" s="55"/>
      <c r="CQ66" s="55"/>
      <c r="CR66" s="55"/>
      <c r="CS66" s="55"/>
      <c r="CT66" s="55"/>
      <c r="CU66" s="55"/>
      <c r="CV66" s="55"/>
      <c r="CW66" s="55"/>
      <c r="CX66" s="55"/>
      <c r="CY66" s="55"/>
      <c r="CZ66" s="55"/>
      <c r="DA66" s="55"/>
      <c r="DB66" s="55"/>
      <c r="DC66" s="55"/>
      <c r="DD66" s="55"/>
      <c r="DE66" s="55"/>
      <c r="DF66" s="55"/>
      <c r="DG66" s="55"/>
      <c r="DH66" s="55"/>
      <c r="DI66" s="55"/>
      <c r="DJ66" s="55"/>
      <c r="DK66" s="55"/>
      <c r="DL66" s="55"/>
      <c r="DM66" s="55"/>
      <c r="DN66" s="55"/>
      <c r="DO66" s="55"/>
      <c r="DP66" s="55"/>
      <c r="DQ66" s="55"/>
      <c r="DR66" s="55"/>
      <c r="DS66" s="55"/>
      <c r="DT66" s="55"/>
      <c r="DU66" s="55"/>
      <c r="DV66" s="55"/>
      <c r="DW66" s="55"/>
      <c r="DX66" s="55"/>
      <c r="DY66" s="55"/>
      <c r="DZ66" s="55"/>
      <c r="EA66" s="55"/>
      <c r="EB66" s="55"/>
      <c r="EC66" s="55"/>
      <c r="ED66" s="55"/>
      <c r="EE66" s="55"/>
      <c r="EF66" s="55"/>
      <c r="EG66" s="55"/>
      <c r="EH66" s="55"/>
      <c r="EI66" s="55"/>
      <c r="EJ66" s="55"/>
      <c r="EK66" s="55"/>
      <c r="EL66" s="55"/>
      <c r="EM66" s="55"/>
      <c r="EN66" s="55"/>
      <c r="EO66" s="55"/>
      <c r="EP66" s="55"/>
      <c r="EQ66" s="55"/>
      <c r="ER66" s="55"/>
      <c r="ES66" s="55"/>
      <c r="ET66" s="55"/>
      <c r="EU66" s="55"/>
      <c r="EV66" s="55"/>
      <c r="EW66" s="55"/>
      <c r="EX66" s="55"/>
      <c r="EY66" s="55"/>
      <c r="EZ66" s="55"/>
      <c r="FA66" s="55"/>
      <c r="FB66" s="55"/>
      <c r="FC66" s="55"/>
      <c r="FD66" s="55"/>
      <c r="FE66" s="55"/>
      <c r="FF66" s="55"/>
      <c r="FG66" s="55"/>
      <c r="FH66" s="55"/>
      <c r="FI66" s="55"/>
      <c r="FJ66" s="55"/>
      <c r="FK66" s="55"/>
      <c r="FL66" s="55"/>
      <c r="FM66" s="55"/>
      <c r="FN66" s="55"/>
      <c r="FO66" s="55"/>
      <c r="FP66" s="55"/>
      <c r="FQ66" s="55"/>
      <c r="FR66" s="55"/>
      <c r="FS66" s="55"/>
      <c r="FT66" s="55"/>
      <c r="FU66" s="55"/>
      <c r="FV66" s="55"/>
      <c r="FW66" s="55"/>
      <c r="FX66" s="55"/>
      <c r="FY66" s="55"/>
      <c r="FZ66" s="55"/>
      <c r="GA66" s="55"/>
      <c r="GB66" s="55"/>
      <c r="GC66" s="55"/>
      <c r="GD66" s="55"/>
      <c r="GE66" s="55"/>
      <c r="GF66" s="55"/>
      <c r="GG66" s="55"/>
      <c r="GH66" s="55"/>
      <c r="GI66" s="55"/>
      <c r="GJ66" s="55"/>
      <c r="GK66" s="55"/>
      <c r="GL66" s="55"/>
      <c r="GM66" s="55"/>
      <c r="GN66" s="55"/>
      <c r="GO66" s="55"/>
      <c r="GP66" s="55"/>
      <c r="GQ66" s="55"/>
      <c r="GR66" s="55"/>
      <c r="GS66" s="55"/>
      <c r="GT66" s="55"/>
      <c r="GU66" s="55"/>
      <c r="GV66" s="55"/>
      <c r="GW66" s="55"/>
      <c r="GX66" s="55"/>
      <c r="GY66" s="55"/>
      <c r="GZ66" s="55"/>
      <c r="HA66" s="55"/>
      <c r="HB66" s="55"/>
      <c r="HC66" s="55"/>
      <c r="HD66" s="55"/>
      <c r="HE66" s="55"/>
      <c r="HF66" s="55"/>
      <c r="HG66" s="55"/>
      <c r="HH66" s="55"/>
      <c r="HI66" s="55"/>
      <c r="HJ66" s="55"/>
      <c r="HK66" s="55"/>
      <c r="HL66" s="55"/>
      <c r="HM66" s="55"/>
      <c r="HN66" s="55"/>
    </row>
    <row r="67" spans="1:222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5"/>
      <c r="BH67" s="55"/>
      <c r="BI67" s="55"/>
      <c r="BJ67" s="55"/>
      <c r="BK67" s="55"/>
      <c r="BL67" s="55"/>
      <c r="BM67" s="55"/>
      <c r="BN67" s="55"/>
      <c r="BO67" s="55"/>
      <c r="BP67" s="55"/>
      <c r="BQ67" s="55"/>
      <c r="BR67" s="55"/>
      <c r="BS67" s="55"/>
      <c r="BT67" s="55"/>
      <c r="BU67" s="55"/>
      <c r="BV67" s="55"/>
      <c r="BW67" s="55"/>
      <c r="BX67" s="55"/>
      <c r="BY67" s="55"/>
      <c r="BZ67" s="55"/>
      <c r="CA67" s="55"/>
      <c r="CB67" s="55"/>
      <c r="CC67" s="55"/>
      <c r="CD67" s="55"/>
      <c r="CE67" s="55"/>
      <c r="CF67" s="55"/>
      <c r="CG67" s="55"/>
      <c r="CH67" s="55"/>
      <c r="CI67" s="55"/>
      <c r="CJ67" s="55"/>
      <c r="CK67" s="55"/>
      <c r="CL67" s="55"/>
      <c r="CM67" s="55"/>
      <c r="CN67" s="55"/>
      <c r="CO67" s="55"/>
      <c r="CP67" s="55"/>
      <c r="CQ67" s="55"/>
      <c r="CR67" s="55"/>
      <c r="CS67" s="55"/>
      <c r="CT67" s="55"/>
      <c r="CU67" s="55"/>
      <c r="CV67" s="55"/>
      <c r="CW67" s="55"/>
      <c r="CX67" s="55"/>
      <c r="CY67" s="55"/>
      <c r="CZ67" s="55"/>
      <c r="DA67" s="55"/>
      <c r="DB67" s="55"/>
      <c r="DC67" s="55"/>
      <c r="DD67" s="55"/>
      <c r="DE67" s="55"/>
      <c r="DF67" s="55"/>
      <c r="DG67" s="55"/>
      <c r="DH67" s="55"/>
      <c r="DI67" s="55"/>
      <c r="DJ67" s="55"/>
      <c r="DK67" s="55"/>
      <c r="DL67" s="55"/>
      <c r="DM67" s="55"/>
      <c r="DN67" s="55"/>
      <c r="DO67" s="55"/>
      <c r="DP67" s="55"/>
      <c r="DQ67" s="55"/>
      <c r="DR67" s="55"/>
      <c r="DS67" s="55"/>
      <c r="DT67" s="55"/>
      <c r="DU67" s="55"/>
      <c r="DV67" s="55"/>
      <c r="DW67" s="55"/>
      <c r="DX67" s="55"/>
      <c r="DY67" s="55"/>
      <c r="DZ67" s="55"/>
      <c r="EA67" s="55"/>
      <c r="EB67" s="55"/>
      <c r="EC67" s="55"/>
      <c r="ED67" s="55"/>
      <c r="EE67" s="55"/>
      <c r="EF67" s="55"/>
      <c r="EG67" s="55"/>
      <c r="EH67" s="55"/>
      <c r="EI67" s="55"/>
      <c r="EJ67" s="55"/>
      <c r="EK67" s="55"/>
      <c r="EL67" s="55"/>
      <c r="EM67" s="55"/>
      <c r="EN67" s="55"/>
      <c r="EO67" s="55"/>
      <c r="EP67" s="55"/>
      <c r="EQ67" s="55"/>
      <c r="ER67" s="55"/>
      <c r="ES67" s="55"/>
      <c r="ET67" s="55"/>
      <c r="EU67" s="55"/>
      <c r="EV67" s="55"/>
      <c r="EW67" s="55"/>
      <c r="EX67" s="55"/>
      <c r="EY67" s="55"/>
      <c r="EZ67" s="55"/>
      <c r="FA67" s="55"/>
      <c r="FB67" s="55"/>
      <c r="FC67" s="55"/>
      <c r="FD67" s="55"/>
      <c r="FE67" s="55"/>
      <c r="FF67" s="55"/>
      <c r="FG67" s="55"/>
      <c r="FH67" s="55"/>
      <c r="FI67" s="55"/>
      <c r="FJ67" s="55"/>
      <c r="FK67" s="55"/>
      <c r="FL67" s="55"/>
      <c r="FM67" s="55"/>
      <c r="FN67" s="55"/>
      <c r="FO67" s="55"/>
      <c r="FP67" s="55"/>
      <c r="FQ67" s="55"/>
      <c r="FR67" s="55"/>
      <c r="FS67" s="55"/>
      <c r="FT67" s="55"/>
      <c r="FU67" s="55"/>
      <c r="FV67" s="55"/>
      <c r="FW67" s="55"/>
      <c r="FX67" s="55"/>
      <c r="FY67" s="55"/>
      <c r="FZ67" s="55"/>
      <c r="GA67" s="55"/>
      <c r="GB67" s="55"/>
      <c r="GC67" s="55"/>
      <c r="GD67" s="55"/>
      <c r="GE67" s="55"/>
      <c r="GF67" s="55"/>
      <c r="GG67" s="55"/>
      <c r="GH67" s="55"/>
      <c r="GI67" s="55"/>
      <c r="GJ67" s="55"/>
      <c r="GK67" s="55"/>
      <c r="GL67" s="55"/>
      <c r="GM67" s="55"/>
      <c r="GN67" s="55"/>
      <c r="GO67" s="55"/>
      <c r="GP67" s="55"/>
      <c r="GQ67" s="55"/>
      <c r="GR67" s="55"/>
      <c r="GS67" s="55"/>
      <c r="GT67" s="55"/>
      <c r="GU67" s="55"/>
      <c r="GV67" s="55"/>
      <c r="GW67" s="55"/>
      <c r="GX67" s="55"/>
      <c r="GY67" s="55"/>
      <c r="GZ67" s="55"/>
      <c r="HA67" s="55"/>
      <c r="HB67" s="55"/>
      <c r="HC67" s="55"/>
      <c r="HD67" s="55"/>
      <c r="HE67" s="55"/>
      <c r="HF67" s="55"/>
      <c r="HG67" s="55"/>
      <c r="HH67" s="55"/>
      <c r="HI67" s="55"/>
      <c r="HJ67" s="55"/>
      <c r="HK67" s="55"/>
      <c r="HL67" s="55"/>
      <c r="HM67" s="55"/>
      <c r="HN67" s="55"/>
    </row>
    <row r="68" spans="1:222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5"/>
      <c r="BE68" s="55"/>
      <c r="BF68" s="55"/>
      <c r="BG68" s="55"/>
      <c r="BH68" s="55"/>
      <c r="BI68" s="55"/>
      <c r="BJ68" s="55"/>
      <c r="BK68" s="55"/>
      <c r="BL68" s="55"/>
      <c r="BM68" s="55"/>
      <c r="BN68" s="55"/>
      <c r="BO68" s="55"/>
      <c r="BP68" s="55"/>
      <c r="BQ68" s="55"/>
      <c r="BR68" s="55"/>
      <c r="BS68" s="55"/>
      <c r="BT68" s="55"/>
      <c r="BU68" s="55"/>
      <c r="BV68" s="55"/>
      <c r="BW68" s="55"/>
      <c r="BX68" s="55"/>
      <c r="BY68" s="55"/>
      <c r="BZ68" s="55"/>
      <c r="CA68" s="55"/>
      <c r="CB68" s="55"/>
      <c r="CC68" s="55"/>
      <c r="CD68" s="55"/>
      <c r="CE68" s="55"/>
      <c r="CF68" s="55"/>
      <c r="CG68" s="55"/>
      <c r="CH68" s="55"/>
      <c r="CI68" s="55"/>
      <c r="CJ68" s="55"/>
      <c r="CK68" s="55"/>
      <c r="CL68" s="55"/>
      <c r="CM68" s="55"/>
      <c r="CN68" s="55"/>
      <c r="CO68" s="55"/>
      <c r="CP68" s="55"/>
      <c r="CQ68" s="55"/>
      <c r="CR68" s="55"/>
      <c r="CS68" s="55"/>
      <c r="CT68" s="55"/>
      <c r="CU68" s="55"/>
      <c r="CV68" s="55"/>
      <c r="CW68" s="55"/>
      <c r="CX68" s="55"/>
      <c r="CY68" s="55"/>
      <c r="CZ68" s="55"/>
      <c r="DA68" s="55"/>
      <c r="DB68" s="55"/>
      <c r="DC68" s="55"/>
      <c r="DD68" s="55"/>
      <c r="DE68" s="55"/>
      <c r="DF68" s="55"/>
      <c r="DG68" s="55"/>
      <c r="DH68" s="55"/>
      <c r="DI68" s="55"/>
      <c r="DJ68" s="55"/>
      <c r="DK68" s="55"/>
      <c r="DL68" s="55"/>
      <c r="DM68" s="55"/>
      <c r="DN68" s="55"/>
      <c r="DO68" s="55"/>
      <c r="DP68" s="55"/>
      <c r="DQ68" s="55"/>
      <c r="DR68" s="55"/>
      <c r="DS68" s="55"/>
      <c r="DT68" s="55"/>
      <c r="DU68" s="55"/>
      <c r="DV68" s="55"/>
      <c r="DW68" s="55"/>
      <c r="DX68" s="55"/>
      <c r="DY68" s="55"/>
      <c r="DZ68" s="55"/>
      <c r="EA68" s="55"/>
      <c r="EB68" s="55"/>
      <c r="EC68" s="55"/>
      <c r="ED68" s="55"/>
      <c r="EE68" s="55"/>
      <c r="EF68" s="55"/>
      <c r="EG68" s="55"/>
      <c r="EH68" s="55"/>
      <c r="EI68" s="55"/>
      <c r="EJ68" s="55"/>
      <c r="EK68" s="55"/>
      <c r="EL68" s="55"/>
      <c r="EM68" s="55"/>
      <c r="EN68" s="55"/>
      <c r="EO68" s="55"/>
      <c r="EP68" s="55"/>
      <c r="EQ68" s="55"/>
      <c r="ER68" s="55"/>
      <c r="ES68" s="55"/>
      <c r="ET68" s="55"/>
      <c r="EU68" s="55"/>
      <c r="EV68" s="55"/>
      <c r="EW68" s="55"/>
      <c r="EX68" s="55"/>
      <c r="EY68" s="55"/>
      <c r="EZ68" s="55"/>
      <c r="FA68" s="55"/>
      <c r="FB68" s="55"/>
      <c r="FC68" s="55"/>
      <c r="FD68" s="55"/>
      <c r="FE68" s="55"/>
      <c r="FF68" s="55"/>
      <c r="FG68" s="55"/>
      <c r="FH68" s="55"/>
      <c r="FI68" s="55"/>
      <c r="FJ68" s="55"/>
      <c r="FK68" s="55"/>
      <c r="FL68" s="55"/>
      <c r="FM68" s="55"/>
      <c r="FN68" s="55"/>
      <c r="FO68" s="55"/>
      <c r="FP68" s="55"/>
      <c r="FQ68" s="55"/>
      <c r="FR68" s="55"/>
      <c r="FS68" s="55"/>
      <c r="FT68" s="55"/>
      <c r="FU68" s="55"/>
      <c r="FV68" s="55"/>
      <c r="FW68" s="55"/>
      <c r="FX68" s="55"/>
      <c r="FY68" s="55"/>
      <c r="FZ68" s="55"/>
      <c r="GA68" s="55"/>
      <c r="GB68" s="55"/>
      <c r="GC68" s="55"/>
      <c r="GD68" s="55"/>
      <c r="GE68" s="55"/>
      <c r="GF68" s="55"/>
      <c r="GG68" s="55"/>
      <c r="GH68" s="55"/>
      <c r="GI68" s="55"/>
      <c r="GJ68" s="55"/>
      <c r="GK68" s="55"/>
      <c r="GL68" s="55"/>
      <c r="GM68" s="55"/>
      <c r="GN68" s="55"/>
      <c r="GO68" s="55"/>
      <c r="GP68" s="55"/>
      <c r="GQ68" s="55"/>
      <c r="GR68" s="55"/>
      <c r="GS68" s="55"/>
      <c r="GT68" s="55"/>
      <c r="GU68" s="55"/>
      <c r="GV68" s="55"/>
      <c r="GW68" s="55"/>
      <c r="GX68" s="55"/>
      <c r="GY68" s="55"/>
      <c r="GZ68" s="55"/>
      <c r="HA68" s="55"/>
      <c r="HB68" s="55"/>
      <c r="HC68" s="55"/>
      <c r="HD68" s="55"/>
      <c r="HE68" s="55"/>
      <c r="HF68" s="55"/>
      <c r="HG68" s="55"/>
      <c r="HH68" s="55"/>
      <c r="HI68" s="55"/>
      <c r="HJ68" s="55"/>
      <c r="HK68" s="55"/>
      <c r="HL68" s="55"/>
      <c r="HM68" s="55"/>
      <c r="HN68" s="55"/>
    </row>
    <row r="69" spans="1:222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55"/>
      <c r="BE69" s="55"/>
      <c r="BF69" s="55"/>
      <c r="BG69" s="55"/>
      <c r="BH69" s="55"/>
      <c r="BI69" s="55"/>
      <c r="BJ69" s="55"/>
      <c r="BK69" s="55"/>
      <c r="BL69" s="55"/>
      <c r="BM69" s="55"/>
      <c r="BN69" s="55"/>
      <c r="BO69" s="55"/>
      <c r="BP69" s="55"/>
      <c r="BQ69" s="55"/>
      <c r="BR69" s="55"/>
      <c r="BS69" s="55"/>
      <c r="BT69" s="55"/>
      <c r="BU69" s="55"/>
      <c r="BV69" s="55"/>
      <c r="BW69" s="55"/>
      <c r="BX69" s="55"/>
      <c r="BY69" s="55"/>
      <c r="BZ69" s="55"/>
      <c r="CA69" s="55"/>
      <c r="CB69" s="55"/>
      <c r="CC69" s="55"/>
      <c r="CD69" s="55"/>
      <c r="CE69" s="55"/>
      <c r="CF69" s="55"/>
      <c r="CG69" s="55"/>
      <c r="CH69" s="55"/>
      <c r="CI69" s="55"/>
      <c r="CJ69" s="55"/>
      <c r="CK69" s="55"/>
      <c r="CL69" s="55"/>
      <c r="CM69" s="55"/>
      <c r="CN69" s="55"/>
      <c r="CO69" s="55"/>
      <c r="CP69" s="55"/>
      <c r="CQ69" s="55"/>
      <c r="CR69" s="55"/>
      <c r="CS69" s="55"/>
      <c r="CT69" s="55"/>
      <c r="CU69" s="55"/>
      <c r="CV69" s="55"/>
      <c r="CW69" s="55"/>
      <c r="CX69" s="55"/>
      <c r="CY69" s="55"/>
      <c r="CZ69" s="55"/>
      <c r="DA69" s="55"/>
      <c r="DB69" s="55"/>
      <c r="DC69" s="55"/>
      <c r="DD69" s="55"/>
      <c r="DE69" s="55"/>
      <c r="DF69" s="55"/>
      <c r="DG69" s="55"/>
      <c r="DH69" s="55"/>
      <c r="DI69" s="55"/>
      <c r="DJ69" s="55"/>
      <c r="DK69" s="55"/>
      <c r="DL69" s="55"/>
      <c r="DM69" s="55"/>
      <c r="DN69" s="55"/>
      <c r="DO69" s="55"/>
      <c r="DP69" s="55"/>
      <c r="DQ69" s="55"/>
      <c r="DR69" s="55"/>
      <c r="DS69" s="55"/>
      <c r="DT69" s="55"/>
      <c r="DU69" s="55"/>
      <c r="DV69" s="55"/>
      <c r="DW69" s="55"/>
      <c r="DX69" s="55"/>
      <c r="DY69" s="55"/>
      <c r="DZ69" s="55"/>
      <c r="EA69" s="55"/>
      <c r="EB69" s="55"/>
      <c r="EC69" s="55"/>
      <c r="ED69" s="55"/>
      <c r="EE69" s="55"/>
      <c r="EF69" s="55"/>
      <c r="EG69" s="55"/>
      <c r="EH69" s="55"/>
      <c r="EI69" s="55"/>
      <c r="EJ69" s="55"/>
      <c r="EK69" s="55"/>
      <c r="EL69" s="55"/>
      <c r="EM69" s="55"/>
      <c r="EN69" s="55"/>
      <c r="EO69" s="55"/>
      <c r="EP69" s="55"/>
      <c r="EQ69" s="55"/>
      <c r="ER69" s="55"/>
      <c r="ES69" s="55"/>
      <c r="ET69" s="55"/>
      <c r="EU69" s="55"/>
      <c r="EV69" s="55"/>
      <c r="EW69" s="55"/>
      <c r="EX69" s="55"/>
      <c r="EY69" s="55"/>
      <c r="EZ69" s="55"/>
      <c r="FA69" s="55"/>
      <c r="FB69" s="55"/>
      <c r="FC69" s="55"/>
      <c r="FD69" s="55"/>
      <c r="FE69" s="55"/>
      <c r="FF69" s="55"/>
      <c r="FG69" s="55"/>
      <c r="FH69" s="55"/>
      <c r="FI69" s="55"/>
      <c r="FJ69" s="55"/>
      <c r="FK69" s="55"/>
      <c r="FL69" s="55"/>
      <c r="FM69" s="55"/>
      <c r="FN69" s="55"/>
      <c r="FO69" s="55"/>
      <c r="FP69" s="55"/>
      <c r="FQ69" s="55"/>
      <c r="FR69" s="55"/>
      <c r="FS69" s="55"/>
      <c r="FT69" s="55"/>
      <c r="FU69" s="55"/>
      <c r="FV69" s="55"/>
      <c r="FW69" s="55"/>
      <c r="FX69" s="55"/>
      <c r="FY69" s="55"/>
      <c r="FZ69" s="55"/>
      <c r="GA69" s="55"/>
      <c r="GB69" s="55"/>
      <c r="GC69" s="55"/>
      <c r="GD69" s="55"/>
      <c r="GE69" s="55"/>
      <c r="GF69" s="55"/>
      <c r="GG69" s="55"/>
      <c r="GH69" s="55"/>
      <c r="GI69" s="55"/>
      <c r="GJ69" s="55"/>
      <c r="GK69" s="55"/>
      <c r="GL69" s="55"/>
      <c r="GM69" s="55"/>
      <c r="GN69" s="55"/>
      <c r="GO69" s="55"/>
      <c r="GP69" s="55"/>
      <c r="GQ69" s="55"/>
      <c r="GR69" s="55"/>
      <c r="GS69" s="55"/>
      <c r="GT69" s="55"/>
      <c r="GU69" s="55"/>
      <c r="GV69" s="55"/>
      <c r="GW69" s="55"/>
      <c r="GX69" s="55"/>
      <c r="GY69" s="55"/>
      <c r="GZ69" s="55"/>
      <c r="HA69" s="55"/>
      <c r="HB69" s="55"/>
      <c r="HC69" s="55"/>
      <c r="HD69" s="55"/>
      <c r="HE69" s="55"/>
      <c r="HF69" s="55"/>
      <c r="HG69" s="55"/>
      <c r="HH69" s="55"/>
      <c r="HI69" s="55"/>
      <c r="HJ69" s="55"/>
      <c r="HK69" s="55"/>
      <c r="HL69" s="55"/>
      <c r="HM69" s="55"/>
      <c r="HN69" s="55"/>
    </row>
    <row r="70" spans="1:222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  <c r="BD70" s="55"/>
      <c r="BE70" s="55"/>
      <c r="BF70" s="55"/>
      <c r="BG70" s="55"/>
      <c r="BH70" s="55"/>
      <c r="BI70" s="55"/>
      <c r="BJ70" s="55"/>
      <c r="BK70" s="55"/>
      <c r="BL70" s="55"/>
      <c r="BM70" s="55"/>
      <c r="BN70" s="55"/>
      <c r="BO70" s="55"/>
      <c r="BP70" s="55"/>
      <c r="BQ70" s="55"/>
      <c r="BR70" s="55"/>
      <c r="BS70" s="55"/>
      <c r="BT70" s="55"/>
      <c r="BU70" s="55"/>
      <c r="BV70" s="55"/>
      <c r="BW70" s="55"/>
      <c r="BX70" s="55"/>
      <c r="BY70" s="55"/>
      <c r="BZ70" s="55"/>
      <c r="CA70" s="55"/>
      <c r="CB70" s="55"/>
      <c r="CC70" s="55"/>
      <c r="CD70" s="55"/>
      <c r="CE70" s="55"/>
      <c r="CF70" s="55"/>
      <c r="CG70" s="55"/>
      <c r="CH70" s="55"/>
      <c r="CI70" s="55"/>
      <c r="CJ70" s="55"/>
      <c r="CK70" s="55"/>
      <c r="CL70" s="55"/>
      <c r="CM70" s="55"/>
      <c r="CN70" s="55"/>
      <c r="CO70" s="55"/>
      <c r="CP70" s="55"/>
      <c r="CQ70" s="55"/>
      <c r="CR70" s="55"/>
      <c r="CS70" s="55"/>
      <c r="CT70" s="55"/>
      <c r="CU70" s="55"/>
      <c r="CV70" s="55"/>
      <c r="CW70" s="55"/>
      <c r="CX70" s="55"/>
      <c r="CY70" s="55"/>
      <c r="CZ70" s="55"/>
      <c r="DA70" s="55"/>
      <c r="DB70" s="55"/>
      <c r="DC70" s="55"/>
      <c r="DD70" s="55"/>
      <c r="DE70" s="55"/>
      <c r="DF70" s="55"/>
      <c r="DG70" s="55"/>
      <c r="DH70" s="55"/>
      <c r="DI70" s="55"/>
      <c r="DJ70" s="55"/>
      <c r="DK70" s="55"/>
      <c r="DL70" s="55"/>
      <c r="DM70" s="55"/>
      <c r="DN70" s="55"/>
      <c r="DO70" s="55"/>
      <c r="DP70" s="55"/>
      <c r="DQ70" s="55"/>
      <c r="DR70" s="55"/>
      <c r="DS70" s="55"/>
      <c r="DT70" s="55"/>
      <c r="DU70" s="55"/>
      <c r="DV70" s="55"/>
      <c r="DW70" s="55"/>
      <c r="DX70" s="55"/>
      <c r="DY70" s="55"/>
      <c r="DZ70" s="55"/>
      <c r="EA70" s="55"/>
      <c r="EB70" s="55"/>
      <c r="EC70" s="55"/>
      <c r="ED70" s="55"/>
      <c r="EE70" s="55"/>
      <c r="EF70" s="55"/>
      <c r="EG70" s="55"/>
      <c r="EH70" s="55"/>
      <c r="EI70" s="55"/>
      <c r="EJ70" s="55"/>
      <c r="EK70" s="55"/>
      <c r="EL70" s="55"/>
      <c r="EM70" s="55"/>
      <c r="EN70" s="55"/>
      <c r="EO70" s="55"/>
      <c r="EP70" s="55"/>
      <c r="EQ70" s="55"/>
      <c r="ER70" s="55"/>
      <c r="ES70" s="55"/>
      <c r="ET70" s="55"/>
      <c r="EU70" s="55"/>
      <c r="EV70" s="55"/>
      <c r="EW70" s="55"/>
      <c r="EX70" s="55"/>
      <c r="EY70" s="55"/>
      <c r="EZ70" s="55"/>
      <c r="FA70" s="55"/>
      <c r="FB70" s="55"/>
      <c r="FC70" s="55"/>
      <c r="FD70" s="55"/>
      <c r="FE70" s="55"/>
      <c r="FF70" s="55"/>
      <c r="FG70" s="55"/>
      <c r="FH70" s="55"/>
      <c r="FI70" s="55"/>
      <c r="FJ70" s="55"/>
      <c r="FK70" s="55"/>
      <c r="FL70" s="55"/>
      <c r="FM70" s="55"/>
      <c r="FN70" s="55"/>
      <c r="FO70" s="55"/>
      <c r="FP70" s="55"/>
      <c r="FQ70" s="55"/>
      <c r="FR70" s="55"/>
      <c r="FS70" s="55"/>
      <c r="FT70" s="55"/>
      <c r="FU70" s="55"/>
      <c r="FV70" s="55"/>
      <c r="FW70" s="55"/>
      <c r="FX70" s="55"/>
      <c r="FY70" s="55"/>
      <c r="FZ70" s="55"/>
      <c r="GA70" s="55"/>
      <c r="GB70" s="55"/>
      <c r="GC70" s="55"/>
      <c r="GD70" s="55"/>
      <c r="GE70" s="55"/>
      <c r="GF70" s="55"/>
      <c r="GG70" s="55"/>
      <c r="GH70" s="55"/>
      <c r="GI70" s="55"/>
      <c r="GJ70" s="55"/>
      <c r="GK70" s="55"/>
      <c r="GL70" s="55"/>
      <c r="GM70" s="55"/>
      <c r="GN70" s="55"/>
      <c r="GO70" s="55"/>
      <c r="GP70" s="55"/>
      <c r="GQ70" s="55"/>
      <c r="GR70" s="55"/>
      <c r="GS70" s="55"/>
      <c r="GT70" s="55"/>
      <c r="GU70" s="55"/>
      <c r="GV70" s="55"/>
      <c r="GW70" s="55"/>
      <c r="GX70" s="55"/>
      <c r="GY70" s="55"/>
      <c r="GZ70" s="55"/>
      <c r="HA70" s="55"/>
      <c r="HB70" s="55"/>
      <c r="HC70" s="55"/>
      <c r="HD70" s="55"/>
      <c r="HE70" s="55"/>
      <c r="HF70" s="55"/>
      <c r="HG70" s="55"/>
      <c r="HH70" s="55"/>
      <c r="HI70" s="55"/>
      <c r="HJ70" s="55"/>
      <c r="HK70" s="55"/>
      <c r="HL70" s="55"/>
      <c r="HM70" s="55"/>
      <c r="HN70" s="55"/>
    </row>
    <row r="71" spans="1:222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  <c r="BD71" s="55"/>
      <c r="BE71" s="55"/>
      <c r="BF71" s="55"/>
      <c r="BG71" s="55"/>
      <c r="BH71" s="55"/>
      <c r="BI71" s="55"/>
      <c r="BJ71" s="55"/>
      <c r="BK71" s="55"/>
      <c r="BL71" s="55"/>
      <c r="BM71" s="55"/>
      <c r="BN71" s="55"/>
      <c r="BO71" s="55"/>
      <c r="BP71" s="55"/>
      <c r="BQ71" s="55"/>
      <c r="BR71" s="55"/>
      <c r="BS71" s="55"/>
      <c r="BT71" s="55"/>
      <c r="BU71" s="55"/>
      <c r="BV71" s="55"/>
      <c r="BW71" s="55"/>
      <c r="BX71" s="55"/>
      <c r="BY71" s="55"/>
      <c r="BZ71" s="55"/>
      <c r="CA71" s="55"/>
      <c r="CB71" s="55"/>
      <c r="CC71" s="55"/>
      <c r="CD71" s="55"/>
      <c r="CE71" s="55"/>
      <c r="CF71" s="55"/>
      <c r="CG71" s="55"/>
      <c r="CH71" s="55"/>
      <c r="CI71" s="55"/>
      <c r="CJ71" s="55"/>
      <c r="CK71" s="55"/>
      <c r="CL71" s="55"/>
      <c r="CM71" s="55"/>
      <c r="CN71" s="55"/>
      <c r="CO71" s="55"/>
      <c r="CP71" s="55"/>
      <c r="CQ71" s="55"/>
      <c r="CR71" s="55"/>
      <c r="CS71" s="55"/>
      <c r="CT71" s="55"/>
      <c r="CU71" s="55"/>
      <c r="CV71" s="55"/>
      <c r="CW71" s="55"/>
      <c r="CX71" s="55"/>
      <c r="CY71" s="55"/>
      <c r="CZ71" s="55"/>
      <c r="DA71" s="55"/>
      <c r="DB71" s="55"/>
      <c r="DC71" s="55"/>
      <c r="DD71" s="55"/>
      <c r="DE71" s="55"/>
      <c r="DF71" s="55"/>
      <c r="DG71" s="55"/>
      <c r="DH71" s="55"/>
      <c r="DI71" s="55"/>
      <c r="DJ71" s="55"/>
      <c r="DK71" s="55"/>
      <c r="DL71" s="55"/>
      <c r="DM71" s="55"/>
      <c r="DN71" s="55"/>
      <c r="DO71" s="55"/>
      <c r="DP71" s="55"/>
      <c r="DQ71" s="55"/>
      <c r="DR71" s="55"/>
      <c r="DS71" s="55"/>
      <c r="DT71" s="55"/>
      <c r="DU71" s="55"/>
      <c r="DV71" s="55"/>
      <c r="DW71" s="55"/>
      <c r="DX71" s="55"/>
      <c r="DY71" s="55"/>
      <c r="DZ71" s="55"/>
      <c r="EA71" s="55"/>
      <c r="EB71" s="55"/>
      <c r="EC71" s="55"/>
      <c r="ED71" s="55"/>
      <c r="EE71" s="55"/>
      <c r="EF71" s="55"/>
      <c r="EG71" s="55"/>
      <c r="EH71" s="55"/>
      <c r="EI71" s="55"/>
      <c r="EJ71" s="55"/>
      <c r="EK71" s="55"/>
      <c r="EL71" s="55"/>
      <c r="EM71" s="55"/>
      <c r="EN71" s="55"/>
      <c r="EO71" s="55"/>
      <c r="EP71" s="55"/>
      <c r="EQ71" s="55"/>
      <c r="ER71" s="55"/>
      <c r="ES71" s="55"/>
      <c r="ET71" s="55"/>
      <c r="EU71" s="55"/>
      <c r="EV71" s="55"/>
      <c r="EW71" s="55"/>
      <c r="EX71" s="55"/>
      <c r="EY71" s="55"/>
      <c r="EZ71" s="55"/>
      <c r="FA71" s="55"/>
      <c r="FB71" s="55"/>
      <c r="FC71" s="55"/>
      <c r="FD71" s="55"/>
      <c r="FE71" s="55"/>
      <c r="FF71" s="55"/>
      <c r="FG71" s="55"/>
      <c r="FH71" s="55"/>
      <c r="FI71" s="55"/>
      <c r="FJ71" s="55"/>
      <c r="FK71" s="55"/>
      <c r="FL71" s="55"/>
      <c r="FM71" s="55"/>
      <c r="FN71" s="55"/>
      <c r="FO71" s="55"/>
      <c r="FP71" s="55"/>
      <c r="FQ71" s="55"/>
      <c r="FR71" s="55"/>
      <c r="FS71" s="55"/>
      <c r="FT71" s="55"/>
      <c r="FU71" s="55"/>
      <c r="FV71" s="55"/>
      <c r="FW71" s="55"/>
      <c r="FX71" s="55"/>
      <c r="FY71" s="55"/>
      <c r="FZ71" s="55"/>
      <c r="GA71" s="55"/>
      <c r="GB71" s="55"/>
      <c r="GC71" s="55"/>
      <c r="GD71" s="55"/>
      <c r="GE71" s="55"/>
      <c r="GF71" s="55"/>
      <c r="GG71" s="55"/>
      <c r="GH71" s="55"/>
      <c r="GI71" s="55"/>
      <c r="GJ71" s="55"/>
      <c r="GK71" s="55"/>
      <c r="GL71" s="55"/>
      <c r="GM71" s="55"/>
      <c r="GN71" s="55"/>
      <c r="GO71" s="55"/>
      <c r="GP71" s="55"/>
      <c r="GQ71" s="55"/>
      <c r="GR71" s="55"/>
      <c r="GS71" s="55"/>
      <c r="GT71" s="55"/>
      <c r="GU71" s="55"/>
      <c r="GV71" s="55"/>
      <c r="GW71" s="55"/>
      <c r="GX71" s="55"/>
      <c r="GY71" s="55"/>
      <c r="GZ71" s="55"/>
      <c r="HA71" s="55"/>
      <c r="HB71" s="55"/>
      <c r="HC71" s="55"/>
      <c r="HD71" s="55"/>
      <c r="HE71" s="55"/>
      <c r="HF71" s="55"/>
      <c r="HG71" s="55"/>
      <c r="HH71" s="55"/>
      <c r="HI71" s="55"/>
      <c r="HJ71" s="55"/>
      <c r="HK71" s="55"/>
      <c r="HL71" s="55"/>
      <c r="HM71" s="55"/>
      <c r="HN71" s="55"/>
    </row>
    <row r="72" spans="1:222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55"/>
      <c r="BE72" s="55"/>
      <c r="BF72" s="55"/>
      <c r="BG72" s="55"/>
      <c r="BH72" s="55"/>
      <c r="BI72" s="55"/>
      <c r="BJ72" s="55"/>
      <c r="BK72" s="55"/>
      <c r="BL72" s="55"/>
      <c r="BM72" s="55"/>
      <c r="BN72" s="55"/>
      <c r="BO72" s="55"/>
      <c r="BP72" s="55"/>
      <c r="BQ72" s="55"/>
      <c r="BR72" s="55"/>
      <c r="BS72" s="55"/>
      <c r="BT72" s="55"/>
      <c r="BU72" s="55"/>
      <c r="BV72" s="55"/>
      <c r="BW72" s="55"/>
      <c r="BX72" s="55"/>
      <c r="BY72" s="55"/>
      <c r="BZ72" s="55"/>
      <c r="CA72" s="55"/>
      <c r="CB72" s="55"/>
      <c r="CC72" s="55"/>
      <c r="CD72" s="55"/>
      <c r="CE72" s="55"/>
      <c r="CF72" s="55"/>
      <c r="CG72" s="55"/>
      <c r="CH72" s="55"/>
      <c r="CI72" s="55"/>
      <c r="CJ72" s="55"/>
      <c r="CK72" s="55"/>
      <c r="CL72" s="55"/>
      <c r="CM72" s="55"/>
      <c r="CN72" s="55"/>
      <c r="CO72" s="55"/>
      <c r="CP72" s="55"/>
      <c r="CQ72" s="55"/>
      <c r="CR72" s="55"/>
      <c r="CS72" s="55"/>
      <c r="CT72" s="55"/>
      <c r="CU72" s="55"/>
      <c r="CV72" s="55"/>
      <c r="CW72" s="55"/>
      <c r="CX72" s="55"/>
      <c r="CY72" s="55"/>
      <c r="CZ72" s="55"/>
      <c r="DA72" s="55"/>
      <c r="DB72" s="55"/>
      <c r="DC72" s="55"/>
      <c r="DD72" s="55"/>
      <c r="DE72" s="55"/>
      <c r="DF72" s="55"/>
      <c r="DG72" s="55"/>
      <c r="DH72" s="55"/>
      <c r="DI72" s="55"/>
      <c r="DJ72" s="55"/>
      <c r="DK72" s="55"/>
      <c r="DL72" s="55"/>
      <c r="DM72" s="55"/>
      <c r="DN72" s="55"/>
      <c r="DO72" s="55"/>
      <c r="DP72" s="55"/>
      <c r="DQ72" s="55"/>
      <c r="DR72" s="55"/>
      <c r="DS72" s="55"/>
      <c r="DT72" s="55"/>
      <c r="DU72" s="55"/>
      <c r="DV72" s="55"/>
      <c r="DW72" s="55"/>
      <c r="DX72" s="55"/>
      <c r="DY72" s="55"/>
      <c r="DZ72" s="55"/>
      <c r="EA72" s="55"/>
      <c r="EB72" s="55"/>
      <c r="EC72" s="55"/>
      <c r="ED72" s="55"/>
      <c r="EE72" s="55"/>
      <c r="EF72" s="55"/>
      <c r="EG72" s="55"/>
      <c r="EH72" s="55"/>
      <c r="EI72" s="55"/>
      <c r="EJ72" s="55"/>
      <c r="EK72" s="55"/>
      <c r="EL72" s="55"/>
      <c r="EM72" s="55"/>
      <c r="EN72" s="55"/>
      <c r="EO72" s="55"/>
      <c r="EP72" s="55"/>
      <c r="EQ72" s="55"/>
      <c r="ER72" s="55"/>
      <c r="ES72" s="55"/>
      <c r="ET72" s="55"/>
      <c r="EU72" s="55"/>
      <c r="EV72" s="55"/>
      <c r="EW72" s="55"/>
      <c r="EX72" s="55"/>
      <c r="EY72" s="55"/>
      <c r="EZ72" s="55"/>
      <c r="FA72" s="55"/>
      <c r="FB72" s="55"/>
      <c r="FC72" s="55"/>
      <c r="FD72" s="55"/>
      <c r="FE72" s="55"/>
      <c r="FF72" s="55"/>
      <c r="FG72" s="55"/>
      <c r="FH72" s="55"/>
      <c r="FI72" s="55"/>
      <c r="FJ72" s="55"/>
      <c r="FK72" s="55"/>
      <c r="FL72" s="55"/>
      <c r="FM72" s="55"/>
      <c r="FN72" s="55"/>
      <c r="FO72" s="55"/>
      <c r="FP72" s="55"/>
      <c r="FQ72" s="55"/>
      <c r="FR72" s="55"/>
      <c r="FS72" s="55"/>
      <c r="FT72" s="55"/>
      <c r="FU72" s="55"/>
      <c r="FV72" s="55"/>
      <c r="FW72" s="55"/>
      <c r="FX72" s="55"/>
      <c r="FY72" s="55"/>
      <c r="FZ72" s="55"/>
      <c r="GA72" s="55"/>
      <c r="GB72" s="55"/>
      <c r="GC72" s="55"/>
      <c r="GD72" s="55"/>
      <c r="GE72" s="55"/>
      <c r="GF72" s="55"/>
      <c r="GG72" s="55"/>
      <c r="GH72" s="55"/>
      <c r="GI72" s="55"/>
      <c r="GJ72" s="55"/>
      <c r="GK72" s="55"/>
      <c r="GL72" s="55"/>
      <c r="GM72" s="55"/>
      <c r="GN72" s="55"/>
      <c r="GO72" s="55"/>
      <c r="GP72" s="55"/>
      <c r="GQ72" s="55"/>
      <c r="GR72" s="55"/>
      <c r="GS72" s="55"/>
      <c r="GT72" s="55"/>
      <c r="GU72" s="55"/>
      <c r="GV72" s="55"/>
      <c r="GW72" s="55"/>
      <c r="GX72" s="55"/>
      <c r="GY72" s="55"/>
      <c r="GZ72" s="55"/>
      <c r="HA72" s="55"/>
      <c r="HB72" s="55"/>
      <c r="HC72" s="55"/>
      <c r="HD72" s="55"/>
      <c r="HE72" s="55"/>
      <c r="HF72" s="55"/>
      <c r="HG72" s="55"/>
      <c r="HH72" s="55"/>
      <c r="HI72" s="55"/>
      <c r="HJ72" s="55"/>
      <c r="HK72" s="55"/>
      <c r="HL72" s="55"/>
      <c r="HM72" s="55"/>
      <c r="HN72" s="55"/>
    </row>
    <row r="73" spans="1:222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  <c r="BD73" s="55"/>
      <c r="BE73" s="55"/>
      <c r="BF73" s="55"/>
      <c r="BG73" s="55"/>
      <c r="BH73" s="55"/>
      <c r="BI73" s="55"/>
      <c r="BJ73" s="55"/>
      <c r="BK73" s="55"/>
      <c r="BL73" s="55"/>
      <c r="BM73" s="55"/>
      <c r="BN73" s="55"/>
      <c r="BO73" s="55"/>
      <c r="BP73" s="55"/>
      <c r="BQ73" s="55"/>
      <c r="BR73" s="55"/>
      <c r="BS73" s="55"/>
      <c r="BT73" s="55"/>
      <c r="BU73" s="55"/>
      <c r="BV73" s="55"/>
      <c r="BW73" s="55"/>
      <c r="BX73" s="55"/>
      <c r="BY73" s="55"/>
      <c r="BZ73" s="55"/>
      <c r="CA73" s="55"/>
      <c r="CB73" s="55"/>
      <c r="CC73" s="55"/>
      <c r="CD73" s="55"/>
      <c r="CE73" s="55"/>
      <c r="CF73" s="55"/>
      <c r="CG73" s="55"/>
      <c r="CH73" s="55"/>
      <c r="CI73" s="55"/>
      <c r="CJ73" s="55"/>
      <c r="CK73" s="55"/>
      <c r="CL73" s="55"/>
      <c r="CM73" s="55"/>
      <c r="CN73" s="55"/>
      <c r="CO73" s="55"/>
      <c r="CP73" s="55"/>
      <c r="CQ73" s="55"/>
      <c r="CR73" s="55"/>
      <c r="CS73" s="55"/>
      <c r="CT73" s="55"/>
      <c r="CU73" s="55"/>
      <c r="CV73" s="55"/>
      <c r="CW73" s="55"/>
      <c r="CX73" s="55"/>
      <c r="CY73" s="55"/>
      <c r="CZ73" s="55"/>
      <c r="DA73" s="55"/>
      <c r="DB73" s="55"/>
      <c r="DC73" s="55"/>
      <c r="DD73" s="55"/>
      <c r="DE73" s="55"/>
      <c r="DF73" s="55"/>
      <c r="DG73" s="55"/>
      <c r="DH73" s="55"/>
      <c r="DI73" s="55"/>
      <c r="DJ73" s="55"/>
      <c r="DK73" s="55"/>
      <c r="DL73" s="55"/>
      <c r="DM73" s="55"/>
      <c r="DN73" s="55"/>
      <c r="DO73" s="55"/>
      <c r="DP73" s="55"/>
      <c r="DQ73" s="55"/>
      <c r="DR73" s="55"/>
      <c r="DS73" s="55"/>
      <c r="DT73" s="55"/>
      <c r="DU73" s="55"/>
      <c r="DV73" s="55"/>
      <c r="DW73" s="55"/>
      <c r="DX73" s="55"/>
      <c r="DY73" s="55"/>
      <c r="DZ73" s="55"/>
      <c r="EA73" s="55"/>
      <c r="EB73" s="55"/>
      <c r="EC73" s="55"/>
      <c r="ED73" s="55"/>
      <c r="EE73" s="55"/>
      <c r="EF73" s="55"/>
      <c r="EG73" s="55"/>
      <c r="EH73" s="55"/>
      <c r="EI73" s="55"/>
      <c r="EJ73" s="55"/>
      <c r="EK73" s="55"/>
      <c r="EL73" s="55"/>
      <c r="EM73" s="55"/>
      <c r="EN73" s="55"/>
      <c r="EO73" s="55"/>
      <c r="EP73" s="55"/>
      <c r="EQ73" s="55"/>
      <c r="ER73" s="55"/>
      <c r="ES73" s="55"/>
      <c r="ET73" s="55"/>
      <c r="EU73" s="55"/>
      <c r="EV73" s="55"/>
      <c r="EW73" s="55"/>
      <c r="EX73" s="55"/>
      <c r="EY73" s="55"/>
      <c r="EZ73" s="55"/>
      <c r="FA73" s="55"/>
      <c r="FB73" s="55"/>
      <c r="FC73" s="55"/>
      <c r="FD73" s="55"/>
      <c r="FE73" s="55"/>
      <c r="FF73" s="55"/>
      <c r="FG73" s="55"/>
      <c r="FH73" s="55"/>
      <c r="FI73" s="55"/>
      <c r="FJ73" s="55"/>
      <c r="FK73" s="55"/>
      <c r="FL73" s="55"/>
      <c r="FM73" s="55"/>
      <c r="FN73" s="55"/>
      <c r="FO73" s="55"/>
      <c r="FP73" s="55"/>
      <c r="FQ73" s="55"/>
      <c r="FR73" s="55"/>
      <c r="FS73" s="55"/>
      <c r="FT73" s="55"/>
      <c r="FU73" s="55"/>
      <c r="FV73" s="55"/>
      <c r="FW73" s="55"/>
      <c r="FX73" s="55"/>
      <c r="FY73" s="55"/>
      <c r="FZ73" s="55"/>
      <c r="GA73" s="55"/>
      <c r="GB73" s="55"/>
      <c r="GC73" s="55"/>
      <c r="GD73" s="55"/>
      <c r="GE73" s="55"/>
      <c r="GF73" s="55"/>
      <c r="GG73" s="55"/>
      <c r="GH73" s="55"/>
      <c r="GI73" s="55"/>
      <c r="GJ73" s="55"/>
      <c r="GK73" s="55"/>
      <c r="GL73" s="55"/>
      <c r="GM73" s="55"/>
      <c r="GN73" s="55"/>
      <c r="GO73" s="55"/>
      <c r="GP73" s="55"/>
      <c r="GQ73" s="55"/>
      <c r="GR73" s="55"/>
      <c r="GS73" s="55"/>
      <c r="GT73" s="55"/>
      <c r="GU73" s="55"/>
      <c r="GV73" s="55"/>
      <c r="GW73" s="55"/>
      <c r="GX73" s="55"/>
      <c r="GY73" s="55"/>
      <c r="GZ73" s="55"/>
      <c r="HA73" s="55"/>
      <c r="HB73" s="55"/>
      <c r="HC73" s="55"/>
      <c r="HD73" s="55"/>
      <c r="HE73" s="55"/>
      <c r="HF73" s="55"/>
      <c r="HG73" s="55"/>
      <c r="HH73" s="55"/>
      <c r="HI73" s="55"/>
      <c r="HJ73" s="55"/>
      <c r="HK73" s="55"/>
      <c r="HL73" s="55"/>
      <c r="HM73" s="55"/>
      <c r="HN73" s="55"/>
    </row>
    <row r="74" spans="1:222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  <c r="BD74" s="55"/>
      <c r="BE74" s="55"/>
      <c r="BF74" s="55"/>
      <c r="BG74" s="55"/>
      <c r="BH74" s="55"/>
      <c r="BI74" s="55"/>
      <c r="BJ74" s="55"/>
      <c r="BK74" s="55"/>
      <c r="BL74" s="55"/>
      <c r="BM74" s="55"/>
      <c r="BN74" s="55"/>
      <c r="BO74" s="55"/>
      <c r="BP74" s="55"/>
      <c r="BQ74" s="55"/>
      <c r="BR74" s="55"/>
      <c r="BS74" s="55"/>
      <c r="BT74" s="55"/>
      <c r="BU74" s="55"/>
      <c r="BV74" s="55"/>
      <c r="BW74" s="55"/>
      <c r="BX74" s="55"/>
      <c r="BY74" s="55"/>
      <c r="BZ74" s="55"/>
      <c r="CA74" s="55"/>
      <c r="CB74" s="55"/>
      <c r="CC74" s="55"/>
      <c r="CD74" s="55"/>
      <c r="CE74" s="55"/>
      <c r="CF74" s="55"/>
      <c r="CG74" s="55"/>
      <c r="CH74" s="55"/>
      <c r="CI74" s="55"/>
      <c r="CJ74" s="55"/>
      <c r="CK74" s="55"/>
      <c r="CL74" s="55"/>
      <c r="CM74" s="55"/>
      <c r="CN74" s="55"/>
      <c r="CO74" s="55"/>
      <c r="CP74" s="55"/>
      <c r="CQ74" s="55"/>
      <c r="CR74" s="55"/>
      <c r="CS74" s="55"/>
      <c r="CT74" s="55"/>
      <c r="CU74" s="55"/>
      <c r="CV74" s="55"/>
      <c r="CW74" s="55"/>
      <c r="CX74" s="55"/>
      <c r="CY74" s="55"/>
      <c r="CZ74" s="55"/>
      <c r="DA74" s="55"/>
      <c r="DB74" s="55"/>
      <c r="DC74" s="55"/>
      <c r="DD74" s="55"/>
      <c r="DE74" s="55"/>
      <c r="DF74" s="55"/>
      <c r="DG74" s="55"/>
      <c r="DH74" s="55"/>
      <c r="DI74" s="55"/>
      <c r="DJ74" s="55"/>
      <c r="DK74" s="55"/>
      <c r="DL74" s="55"/>
      <c r="DM74" s="55"/>
      <c r="DN74" s="55"/>
      <c r="DO74" s="55"/>
      <c r="DP74" s="55"/>
      <c r="DQ74" s="55"/>
      <c r="DR74" s="55"/>
      <c r="DS74" s="55"/>
      <c r="DT74" s="55"/>
      <c r="DU74" s="55"/>
      <c r="DV74" s="55"/>
      <c r="DW74" s="55"/>
      <c r="DX74" s="55"/>
      <c r="DY74" s="55"/>
      <c r="DZ74" s="55"/>
      <c r="EA74" s="55"/>
      <c r="EB74" s="55"/>
      <c r="EC74" s="55"/>
      <c r="ED74" s="55"/>
      <c r="EE74" s="55"/>
      <c r="EF74" s="55"/>
      <c r="EG74" s="55"/>
      <c r="EH74" s="55"/>
      <c r="EI74" s="55"/>
      <c r="EJ74" s="55"/>
      <c r="EK74" s="55"/>
      <c r="EL74" s="55"/>
      <c r="EM74" s="55"/>
      <c r="EN74" s="55"/>
      <c r="EO74" s="55"/>
      <c r="EP74" s="55"/>
      <c r="EQ74" s="55"/>
      <c r="ER74" s="55"/>
      <c r="ES74" s="55"/>
      <c r="ET74" s="55"/>
      <c r="EU74" s="55"/>
      <c r="EV74" s="55"/>
      <c r="EW74" s="55"/>
      <c r="EX74" s="55"/>
      <c r="EY74" s="55"/>
      <c r="EZ74" s="55"/>
      <c r="FA74" s="55"/>
      <c r="FB74" s="55"/>
      <c r="FC74" s="55"/>
      <c r="FD74" s="55"/>
      <c r="FE74" s="55"/>
      <c r="FF74" s="55"/>
      <c r="FG74" s="55"/>
      <c r="FH74" s="55"/>
      <c r="FI74" s="55"/>
      <c r="FJ74" s="55"/>
      <c r="FK74" s="55"/>
      <c r="FL74" s="55"/>
      <c r="FM74" s="55"/>
      <c r="FN74" s="55"/>
      <c r="FO74" s="55"/>
      <c r="FP74" s="55"/>
      <c r="FQ74" s="55"/>
      <c r="FR74" s="55"/>
      <c r="FS74" s="55"/>
      <c r="FT74" s="55"/>
      <c r="FU74" s="55"/>
      <c r="FV74" s="55"/>
      <c r="FW74" s="55"/>
      <c r="FX74" s="55"/>
      <c r="FY74" s="55"/>
      <c r="FZ74" s="55"/>
      <c r="GA74" s="55"/>
      <c r="GB74" s="55"/>
      <c r="GC74" s="55"/>
      <c r="GD74" s="55"/>
      <c r="GE74" s="55"/>
      <c r="GF74" s="55"/>
      <c r="GG74" s="55"/>
      <c r="GH74" s="55"/>
      <c r="GI74" s="55"/>
      <c r="GJ74" s="55"/>
      <c r="GK74" s="55"/>
      <c r="GL74" s="55"/>
      <c r="GM74" s="55"/>
      <c r="GN74" s="55"/>
      <c r="GO74" s="55"/>
      <c r="GP74" s="55"/>
      <c r="GQ74" s="55"/>
      <c r="GR74" s="55"/>
      <c r="GS74" s="55"/>
      <c r="GT74" s="55"/>
      <c r="GU74" s="55"/>
      <c r="GV74" s="55"/>
      <c r="GW74" s="55"/>
      <c r="GX74" s="55"/>
      <c r="GY74" s="55"/>
      <c r="GZ74" s="55"/>
      <c r="HA74" s="55"/>
      <c r="HB74" s="55"/>
      <c r="HC74" s="55"/>
      <c r="HD74" s="55"/>
      <c r="HE74" s="55"/>
      <c r="HF74" s="55"/>
      <c r="HG74" s="55"/>
      <c r="HH74" s="55"/>
      <c r="HI74" s="55"/>
      <c r="HJ74" s="55"/>
      <c r="HK74" s="55"/>
      <c r="HL74" s="55"/>
      <c r="HM74" s="55"/>
      <c r="HN74" s="55"/>
    </row>
    <row r="75" spans="1:222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  <c r="BG75" s="55"/>
      <c r="BH75" s="55"/>
      <c r="BI75" s="55"/>
      <c r="BJ75" s="55"/>
      <c r="BK75" s="55"/>
      <c r="BL75" s="55"/>
      <c r="BM75" s="55"/>
      <c r="BN75" s="55"/>
      <c r="BO75" s="55"/>
      <c r="BP75" s="55"/>
      <c r="BQ75" s="55"/>
      <c r="BR75" s="55"/>
      <c r="BS75" s="55"/>
      <c r="BT75" s="55"/>
      <c r="BU75" s="55"/>
      <c r="BV75" s="55"/>
      <c r="BW75" s="55"/>
      <c r="BX75" s="55"/>
      <c r="BY75" s="55"/>
      <c r="BZ75" s="55"/>
      <c r="CA75" s="55"/>
      <c r="CB75" s="55"/>
      <c r="CC75" s="55"/>
      <c r="CD75" s="55"/>
      <c r="CE75" s="55"/>
      <c r="CF75" s="55"/>
      <c r="CG75" s="55"/>
      <c r="CH75" s="55"/>
      <c r="CI75" s="55"/>
      <c r="CJ75" s="55"/>
      <c r="CK75" s="55"/>
      <c r="CL75" s="55"/>
      <c r="CM75" s="55"/>
      <c r="CN75" s="55"/>
      <c r="CO75" s="55"/>
      <c r="CP75" s="55"/>
      <c r="CQ75" s="55"/>
      <c r="CR75" s="55"/>
      <c r="CS75" s="55"/>
      <c r="CT75" s="55"/>
      <c r="CU75" s="55"/>
      <c r="CV75" s="55"/>
      <c r="CW75" s="55"/>
      <c r="CX75" s="55"/>
      <c r="CY75" s="55"/>
      <c r="CZ75" s="55"/>
      <c r="DA75" s="55"/>
      <c r="DB75" s="55"/>
      <c r="DC75" s="55"/>
      <c r="DD75" s="55"/>
      <c r="DE75" s="55"/>
      <c r="DF75" s="55"/>
      <c r="DG75" s="55"/>
      <c r="DH75" s="55"/>
      <c r="DI75" s="55"/>
      <c r="DJ75" s="55"/>
      <c r="DK75" s="55"/>
      <c r="DL75" s="55"/>
      <c r="DM75" s="55"/>
      <c r="DN75" s="55"/>
      <c r="DO75" s="55"/>
      <c r="DP75" s="55"/>
      <c r="DQ75" s="55"/>
      <c r="DR75" s="55"/>
      <c r="DS75" s="55"/>
      <c r="DT75" s="55"/>
      <c r="DU75" s="55"/>
      <c r="DV75" s="55"/>
      <c r="DW75" s="55"/>
      <c r="DX75" s="55"/>
      <c r="DY75" s="55"/>
      <c r="DZ75" s="55"/>
      <c r="EA75" s="55"/>
      <c r="EB75" s="55"/>
      <c r="EC75" s="55"/>
      <c r="ED75" s="55"/>
      <c r="EE75" s="55"/>
      <c r="EF75" s="55"/>
      <c r="EG75" s="55"/>
      <c r="EH75" s="55"/>
      <c r="EI75" s="55"/>
      <c r="EJ75" s="55"/>
      <c r="EK75" s="55"/>
      <c r="EL75" s="55"/>
      <c r="EM75" s="55"/>
      <c r="EN75" s="55"/>
      <c r="EO75" s="55"/>
      <c r="EP75" s="55"/>
      <c r="EQ75" s="55"/>
      <c r="ER75" s="55"/>
      <c r="ES75" s="55"/>
      <c r="ET75" s="55"/>
      <c r="EU75" s="55"/>
      <c r="EV75" s="55"/>
      <c r="EW75" s="55"/>
      <c r="EX75" s="55"/>
      <c r="EY75" s="55"/>
      <c r="EZ75" s="55"/>
      <c r="FA75" s="55"/>
      <c r="FB75" s="55"/>
      <c r="FC75" s="55"/>
      <c r="FD75" s="55"/>
      <c r="FE75" s="55"/>
      <c r="FF75" s="55"/>
      <c r="FG75" s="55"/>
      <c r="FH75" s="55"/>
      <c r="FI75" s="55"/>
      <c r="FJ75" s="55"/>
      <c r="FK75" s="55"/>
      <c r="FL75" s="55"/>
      <c r="FM75" s="55"/>
      <c r="FN75" s="55"/>
      <c r="FO75" s="55"/>
      <c r="FP75" s="55"/>
      <c r="FQ75" s="55"/>
      <c r="FR75" s="55"/>
      <c r="FS75" s="55"/>
      <c r="FT75" s="55"/>
      <c r="FU75" s="55"/>
      <c r="FV75" s="55"/>
      <c r="FW75" s="55"/>
      <c r="FX75" s="55"/>
      <c r="FY75" s="55"/>
      <c r="FZ75" s="55"/>
      <c r="GA75" s="55"/>
      <c r="GB75" s="55"/>
      <c r="GC75" s="55"/>
      <c r="GD75" s="55"/>
      <c r="GE75" s="55"/>
      <c r="GF75" s="55"/>
      <c r="GG75" s="55"/>
      <c r="GH75" s="55"/>
      <c r="GI75" s="55"/>
      <c r="GJ75" s="55"/>
      <c r="GK75" s="55"/>
      <c r="GL75" s="55"/>
      <c r="GM75" s="55"/>
      <c r="GN75" s="55"/>
      <c r="GO75" s="55"/>
      <c r="GP75" s="55"/>
      <c r="GQ75" s="55"/>
      <c r="GR75" s="55"/>
      <c r="GS75" s="55"/>
      <c r="GT75" s="55"/>
      <c r="GU75" s="55"/>
      <c r="GV75" s="55"/>
      <c r="GW75" s="55"/>
      <c r="GX75" s="55"/>
      <c r="GY75" s="55"/>
      <c r="GZ75" s="55"/>
      <c r="HA75" s="55"/>
      <c r="HB75" s="55"/>
      <c r="HC75" s="55"/>
      <c r="HD75" s="55"/>
      <c r="HE75" s="55"/>
      <c r="HF75" s="55"/>
      <c r="HG75" s="55"/>
      <c r="HH75" s="55"/>
      <c r="HI75" s="55"/>
      <c r="HJ75" s="55"/>
      <c r="HK75" s="55"/>
      <c r="HL75" s="55"/>
      <c r="HM75" s="55"/>
      <c r="HN75" s="55"/>
    </row>
    <row r="76" spans="1:222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  <c r="BD76" s="55"/>
      <c r="BE76" s="55"/>
      <c r="BF76" s="55"/>
      <c r="BG76" s="55"/>
      <c r="BH76" s="55"/>
      <c r="BI76" s="55"/>
      <c r="BJ76" s="55"/>
      <c r="BK76" s="55"/>
      <c r="BL76" s="55"/>
      <c r="BM76" s="55"/>
      <c r="BN76" s="55"/>
      <c r="BO76" s="55"/>
      <c r="BP76" s="55"/>
      <c r="BQ76" s="55"/>
      <c r="BR76" s="55"/>
      <c r="BS76" s="55"/>
      <c r="BT76" s="55"/>
      <c r="BU76" s="55"/>
      <c r="BV76" s="55"/>
      <c r="BW76" s="55"/>
      <c r="BX76" s="55"/>
      <c r="BY76" s="55"/>
      <c r="BZ76" s="55"/>
      <c r="CA76" s="55"/>
      <c r="CB76" s="55"/>
      <c r="CC76" s="55"/>
      <c r="CD76" s="55"/>
      <c r="CE76" s="55"/>
      <c r="CF76" s="55"/>
      <c r="CG76" s="55"/>
      <c r="CH76" s="55"/>
      <c r="CI76" s="55"/>
      <c r="CJ76" s="55"/>
      <c r="CK76" s="55"/>
      <c r="CL76" s="55"/>
      <c r="CM76" s="55"/>
      <c r="CN76" s="55"/>
      <c r="CO76" s="55"/>
      <c r="CP76" s="55"/>
      <c r="CQ76" s="55"/>
      <c r="CR76" s="55"/>
      <c r="CS76" s="55"/>
      <c r="CT76" s="55"/>
      <c r="CU76" s="55"/>
      <c r="CV76" s="55"/>
      <c r="CW76" s="55"/>
      <c r="CX76" s="55"/>
      <c r="CY76" s="55"/>
      <c r="CZ76" s="55"/>
      <c r="DA76" s="55"/>
      <c r="DB76" s="55"/>
      <c r="DC76" s="55"/>
      <c r="DD76" s="55"/>
      <c r="DE76" s="55"/>
      <c r="DF76" s="55"/>
      <c r="DG76" s="55"/>
      <c r="DH76" s="55"/>
      <c r="DI76" s="55"/>
      <c r="DJ76" s="55"/>
      <c r="DK76" s="55"/>
      <c r="DL76" s="55"/>
      <c r="DM76" s="55"/>
      <c r="DN76" s="55"/>
      <c r="DO76" s="55"/>
      <c r="DP76" s="55"/>
      <c r="DQ76" s="55"/>
      <c r="DR76" s="55"/>
      <c r="DS76" s="55"/>
      <c r="DT76" s="55"/>
      <c r="DU76" s="55"/>
      <c r="DV76" s="55"/>
      <c r="DW76" s="55"/>
      <c r="DX76" s="55"/>
      <c r="DY76" s="55"/>
      <c r="DZ76" s="55"/>
      <c r="EA76" s="55"/>
      <c r="EB76" s="55"/>
      <c r="EC76" s="55"/>
      <c r="ED76" s="55"/>
      <c r="EE76" s="55"/>
      <c r="EF76" s="55"/>
      <c r="EG76" s="55"/>
      <c r="EH76" s="55"/>
      <c r="EI76" s="55"/>
      <c r="EJ76" s="55"/>
      <c r="EK76" s="55"/>
      <c r="EL76" s="55"/>
      <c r="EM76" s="55"/>
      <c r="EN76" s="55"/>
      <c r="EO76" s="55"/>
      <c r="EP76" s="55"/>
      <c r="EQ76" s="55"/>
      <c r="ER76" s="55"/>
      <c r="ES76" s="55"/>
      <c r="ET76" s="55"/>
      <c r="EU76" s="55"/>
      <c r="EV76" s="55"/>
      <c r="EW76" s="55"/>
      <c r="EX76" s="55"/>
      <c r="EY76" s="55"/>
      <c r="EZ76" s="55"/>
      <c r="FA76" s="55"/>
      <c r="FB76" s="55"/>
      <c r="FC76" s="55"/>
      <c r="FD76" s="55"/>
      <c r="FE76" s="55"/>
      <c r="FF76" s="55"/>
      <c r="FG76" s="55"/>
      <c r="FH76" s="55"/>
      <c r="FI76" s="55"/>
      <c r="FJ76" s="55"/>
      <c r="FK76" s="55"/>
      <c r="FL76" s="55"/>
      <c r="FM76" s="55"/>
      <c r="FN76" s="55"/>
      <c r="FO76" s="55"/>
      <c r="FP76" s="55"/>
      <c r="FQ76" s="55"/>
      <c r="FR76" s="55"/>
      <c r="FS76" s="55"/>
      <c r="FT76" s="55"/>
      <c r="FU76" s="55"/>
      <c r="FV76" s="55"/>
      <c r="FW76" s="55"/>
      <c r="FX76" s="55"/>
      <c r="FY76" s="55"/>
      <c r="FZ76" s="55"/>
      <c r="GA76" s="55"/>
      <c r="GB76" s="55"/>
      <c r="GC76" s="55"/>
      <c r="GD76" s="55"/>
      <c r="GE76" s="55"/>
      <c r="GF76" s="55"/>
      <c r="GG76" s="55"/>
      <c r="GH76" s="55"/>
      <c r="GI76" s="55"/>
      <c r="GJ76" s="55"/>
      <c r="GK76" s="55"/>
      <c r="GL76" s="55"/>
      <c r="GM76" s="55"/>
      <c r="GN76" s="55"/>
      <c r="GO76" s="55"/>
      <c r="GP76" s="55"/>
      <c r="GQ76" s="55"/>
      <c r="GR76" s="55"/>
      <c r="GS76" s="55"/>
      <c r="GT76" s="55"/>
      <c r="GU76" s="55"/>
      <c r="GV76" s="55"/>
      <c r="GW76" s="55"/>
      <c r="GX76" s="55"/>
      <c r="GY76" s="55"/>
      <c r="GZ76" s="55"/>
      <c r="HA76" s="55"/>
      <c r="HB76" s="55"/>
      <c r="HC76" s="55"/>
      <c r="HD76" s="55"/>
      <c r="HE76" s="55"/>
      <c r="HF76" s="55"/>
      <c r="HG76" s="55"/>
      <c r="HH76" s="55"/>
      <c r="HI76" s="55"/>
      <c r="HJ76" s="55"/>
      <c r="HK76" s="55"/>
      <c r="HL76" s="55"/>
      <c r="HM76" s="55"/>
      <c r="HN76" s="55"/>
    </row>
    <row r="77" spans="1:222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  <c r="BD77" s="55"/>
      <c r="BE77" s="55"/>
      <c r="BF77" s="55"/>
      <c r="BG77" s="55"/>
      <c r="BH77" s="55"/>
      <c r="BI77" s="55"/>
      <c r="BJ77" s="55"/>
      <c r="BK77" s="55"/>
      <c r="BL77" s="55"/>
      <c r="BM77" s="55"/>
      <c r="BN77" s="55"/>
      <c r="BO77" s="55"/>
      <c r="BP77" s="55"/>
      <c r="BQ77" s="55"/>
      <c r="BR77" s="55"/>
      <c r="BS77" s="55"/>
      <c r="BT77" s="55"/>
      <c r="BU77" s="55"/>
      <c r="BV77" s="55"/>
      <c r="BW77" s="55"/>
      <c r="BX77" s="55"/>
      <c r="BY77" s="55"/>
      <c r="BZ77" s="55"/>
      <c r="CA77" s="55"/>
      <c r="CB77" s="55"/>
      <c r="CC77" s="55"/>
      <c r="CD77" s="55"/>
      <c r="CE77" s="55"/>
      <c r="CF77" s="55"/>
      <c r="CG77" s="55"/>
      <c r="CH77" s="55"/>
      <c r="CI77" s="55"/>
      <c r="CJ77" s="55"/>
      <c r="CK77" s="55"/>
      <c r="CL77" s="55"/>
      <c r="CM77" s="55"/>
      <c r="CN77" s="55"/>
      <c r="CO77" s="55"/>
      <c r="CP77" s="55"/>
      <c r="CQ77" s="55"/>
      <c r="CR77" s="55"/>
      <c r="CS77" s="55"/>
      <c r="CT77" s="55"/>
      <c r="CU77" s="55"/>
      <c r="CV77" s="55"/>
      <c r="CW77" s="55"/>
      <c r="CX77" s="55"/>
      <c r="CY77" s="55"/>
      <c r="CZ77" s="55"/>
      <c r="DA77" s="55"/>
      <c r="DB77" s="55"/>
      <c r="DC77" s="55"/>
      <c r="DD77" s="55"/>
      <c r="DE77" s="55"/>
      <c r="DF77" s="55"/>
      <c r="DG77" s="55"/>
      <c r="DH77" s="55"/>
      <c r="DI77" s="55"/>
      <c r="DJ77" s="55"/>
      <c r="DK77" s="55"/>
      <c r="DL77" s="55"/>
      <c r="DM77" s="55"/>
      <c r="DN77" s="55"/>
      <c r="DO77" s="55"/>
      <c r="DP77" s="55"/>
      <c r="DQ77" s="55"/>
      <c r="DR77" s="55"/>
      <c r="DS77" s="55"/>
      <c r="DT77" s="55"/>
      <c r="DU77" s="55"/>
      <c r="DV77" s="55"/>
      <c r="DW77" s="55"/>
      <c r="DX77" s="55"/>
      <c r="DY77" s="55"/>
      <c r="DZ77" s="55"/>
      <c r="EA77" s="55"/>
      <c r="EB77" s="55"/>
      <c r="EC77" s="55"/>
      <c r="ED77" s="55"/>
      <c r="EE77" s="55"/>
      <c r="EF77" s="55"/>
      <c r="EG77" s="55"/>
      <c r="EH77" s="55"/>
      <c r="EI77" s="55"/>
      <c r="EJ77" s="55"/>
      <c r="EK77" s="55"/>
      <c r="EL77" s="55"/>
      <c r="EM77" s="55"/>
      <c r="EN77" s="55"/>
      <c r="EO77" s="55"/>
      <c r="EP77" s="55"/>
      <c r="EQ77" s="55"/>
      <c r="ER77" s="55"/>
      <c r="ES77" s="55"/>
      <c r="ET77" s="55"/>
      <c r="EU77" s="55"/>
      <c r="EV77" s="55"/>
      <c r="EW77" s="55"/>
      <c r="EX77" s="55"/>
      <c r="EY77" s="55"/>
      <c r="EZ77" s="55"/>
      <c r="FA77" s="55"/>
      <c r="FB77" s="55"/>
      <c r="FC77" s="55"/>
      <c r="FD77" s="55"/>
      <c r="FE77" s="55"/>
      <c r="FF77" s="55"/>
      <c r="FG77" s="55"/>
      <c r="FH77" s="55"/>
      <c r="FI77" s="55"/>
      <c r="FJ77" s="55"/>
      <c r="FK77" s="55"/>
      <c r="FL77" s="55"/>
      <c r="FM77" s="55"/>
      <c r="FN77" s="55"/>
      <c r="FO77" s="55"/>
      <c r="FP77" s="55"/>
      <c r="FQ77" s="55"/>
      <c r="FR77" s="55"/>
      <c r="FS77" s="55"/>
      <c r="FT77" s="55"/>
      <c r="FU77" s="55"/>
      <c r="FV77" s="55"/>
      <c r="FW77" s="55"/>
      <c r="FX77" s="55"/>
      <c r="FY77" s="55"/>
      <c r="FZ77" s="55"/>
      <c r="GA77" s="55"/>
      <c r="GB77" s="55"/>
      <c r="GC77" s="55"/>
      <c r="GD77" s="55"/>
      <c r="GE77" s="55"/>
      <c r="GF77" s="55"/>
      <c r="GG77" s="55"/>
      <c r="GH77" s="55"/>
      <c r="GI77" s="55"/>
      <c r="GJ77" s="55"/>
      <c r="GK77" s="55"/>
      <c r="GL77" s="55"/>
      <c r="GM77" s="55"/>
      <c r="GN77" s="55"/>
      <c r="GO77" s="55"/>
      <c r="GP77" s="55"/>
      <c r="GQ77" s="55"/>
      <c r="GR77" s="55"/>
      <c r="GS77" s="55"/>
      <c r="GT77" s="55"/>
      <c r="GU77" s="55"/>
      <c r="GV77" s="55"/>
      <c r="GW77" s="55"/>
      <c r="GX77" s="55"/>
      <c r="GY77" s="55"/>
      <c r="GZ77" s="55"/>
      <c r="HA77" s="55"/>
      <c r="HB77" s="55"/>
      <c r="HC77" s="55"/>
      <c r="HD77" s="55"/>
      <c r="HE77" s="55"/>
      <c r="HF77" s="55"/>
      <c r="HG77" s="55"/>
      <c r="HH77" s="55"/>
      <c r="HI77" s="55"/>
      <c r="HJ77" s="55"/>
      <c r="HK77" s="55"/>
      <c r="HL77" s="55"/>
      <c r="HM77" s="55"/>
      <c r="HN77" s="55"/>
    </row>
    <row r="78" spans="1:222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  <c r="BD78" s="55"/>
      <c r="BE78" s="55"/>
      <c r="BF78" s="55"/>
      <c r="BG78" s="55"/>
      <c r="BH78" s="55"/>
      <c r="BI78" s="55"/>
      <c r="BJ78" s="55"/>
      <c r="BK78" s="55"/>
      <c r="BL78" s="55"/>
      <c r="BM78" s="55"/>
      <c r="BN78" s="55"/>
      <c r="BO78" s="55"/>
      <c r="BP78" s="55"/>
      <c r="BQ78" s="55"/>
      <c r="BR78" s="55"/>
      <c r="BS78" s="55"/>
      <c r="BT78" s="55"/>
      <c r="BU78" s="55"/>
      <c r="BV78" s="55"/>
      <c r="BW78" s="55"/>
      <c r="BX78" s="55"/>
      <c r="BY78" s="55"/>
      <c r="BZ78" s="55"/>
      <c r="CA78" s="55"/>
      <c r="CB78" s="55"/>
      <c r="CC78" s="55"/>
      <c r="CD78" s="55"/>
      <c r="CE78" s="55"/>
      <c r="CF78" s="55"/>
      <c r="CG78" s="55"/>
      <c r="CH78" s="55"/>
      <c r="CI78" s="55"/>
      <c r="CJ78" s="55"/>
      <c r="CK78" s="55"/>
      <c r="CL78" s="55"/>
      <c r="CM78" s="55"/>
      <c r="CN78" s="55"/>
      <c r="CO78" s="55"/>
      <c r="CP78" s="55"/>
      <c r="CQ78" s="55"/>
      <c r="CR78" s="55"/>
      <c r="CS78" s="55"/>
      <c r="CT78" s="55"/>
      <c r="CU78" s="55"/>
      <c r="CV78" s="55"/>
      <c r="CW78" s="55"/>
      <c r="CX78" s="55"/>
      <c r="CY78" s="55"/>
      <c r="CZ78" s="55"/>
      <c r="DA78" s="55"/>
      <c r="DB78" s="55"/>
      <c r="DC78" s="55"/>
      <c r="DD78" s="55"/>
      <c r="DE78" s="55"/>
      <c r="DF78" s="55"/>
      <c r="DG78" s="55"/>
      <c r="DH78" s="55"/>
      <c r="DI78" s="55"/>
      <c r="DJ78" s="55"/>
      <c r="DK78" s="55"/>
      <c r="DL78" s="55"/>
      <c r="DM78" s="55"/>
      <c r="DN78" s="55"/>
      <c r="DO78" s="55"/>
      <c r="DP78" s="55"/>
      <c r="DQ78" s="55"/>
      <c r="DR78" s="55"/>
      <c r="DS78" s="55"/>
      <c r="DT78" s="55"/>
      <c r="DU78" s="55"/>
      <c r="DV78" s="55"/>
      <c r="DW78" s="55"/>
      <c r="DX78" s="55"/>
      <c r="DY78" s="55"/>
      <c r="DZ78" s="55"/>
      <c r="EA78" s="55"/>
      <c r="EB78" s="55"/>
      <c r="EC78" s="55"/>
      <c r="ED78" s="55"/>
      <c r="EE78" s="55"/>
      <c r="EF78" s="55"/>
      <c r="EG78" s="55"/>
      <c r="EH78" s="55"/>
      <c r="EI78" s="55"/>
      <c r="EJ78" s="55"/>
      <c r="EK78" s="55"/>
      <c r="EL78" s="55"/>
      <c r="EM78" s="55"/>
      <c r="EN78" s="55"/>
      <c r="EO78" s="55"/>
      <c r="EP78" s="55"/>
      <c r="EQ78" s="55"/>
      <c r="ER78" s="55"/>
      <c r="ES78" s="55"/>
      <c r="ET78" s="55"/>
      <c r="EU78" s="55"/>
      <c r="EV78" s="55"/>
      <c r="EW78" s="55"/>
      <c r="EX78" s="55"/>
      <c r="EY78" s="55"/>
      <c r="EZ78" s="55"/>
      <c r="FA78" s="55"/>
      <c r="FB78" s="55"/>
      <c r="FC78" s="55"/>
      <c r="FD78" s="55"/>
      <c r="FE78" s="55"/>
      <c r="FF78" s="55"/>
      <c r="FG78" s="55"/>
      <c r="FH78" s="55"/>
      <c r="FI78" s="55"/>
      <c r="FJ78" s="55"/>
      <c r="FK78" s="55"/>
      <c r="FL78" s="55"/>
      <c r="FM78" s="55"/>
      <c r="FN78" s="55"/>
      <c r="FO78" s="55"/>
      <c r="FP78" s="55"/>
      <c r="FQ78" s="55"/>
      <c r="FR78" s="55"/>
      <c r="FS78" s="55"/>
      <c r="FT78" s="55"/>
      <c r="FU78" s="55"/>
      <c r="FV78" s="55"/>
      <c r="FW78" s="55"/>
      <c r="FX78" s="55"/>
      <c r="FY78" s="55"/>
      <c r="FZ78" s="55"/>
      <c r="GA78" s="55"/>
      <c r="GB78" s="55"/>
      <c r="GC78" s="55"/>
      <c r="GD78" s="55"/>
      <c r="GE78" s="55"/>
      <c r="GF78" s="55"/>
      <c r="GG78" s="55"/>
      <c r="GH78" s="55"/>
      <c r="GI78" s="55"/>
      <c r="GJ78" s="55"/>
      <c r="GK78" s="55"/>
      <c r="GL78" s="55"/>
      <c r="GM78" s="55"/>
      <c r="GN78" s="55"/>
      <c r="GO78" s="55"/>
      <c r="GP78" s="55"/>
      <c r="GQ78" s="55"/>
      <c r="GR78" s="55"/>
      <c r="GS78" s="55"/>
      <c r="GT78" s="55"/>
      <c r="GU78" s="55"/>
      <c r="GV78" s="55"/>
      <c r="GW78" s="55"/>
      <c r="GX78" s="55"/>
      <c r="GY78" s="55"/>
      <c r="GZ78" s="55"/>
      <c r="HA78" s="55"/>
      <c r="HB78" s="55"/>
      <c r="HC78" s="55"/>
      <c r="HD78" s="55"/>
      <c r="HE78" s="55"/>
      <c r="HF78" s="55"/>
      <c r="HG78" s="55"/>
      <c r="HH78" s="55"/>
      <c r="HI78" s="55"/>
      <c r="HJ78" s="55"/>
      <c r="HK78" s="55"/>
      <c r="HL78" s="55"/>
      <c r="HM78" s="55"/>
      <c r="HN78" s="55"/>
    </row>
    <row r="79" spans="1:222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  <c r="BD79" s="55"/>
      <c r="BE79" s="55"/>
      <c r="BF79" s="55"/>
      <c r="BG79" s="55"/>
      <c r="BH79" s="55"/>
      <c r="BI79" s="55"/>
      <c r="BJ79" s="55"/>
      <c r="BK79" s="55"/>
      <c r="BL79" s="55"/>
      <c r="BM79" s="55"/>
      <c r="BN79" s="55"/>
      <c r="BO79" s="55"/>
      <c r="BP79" s="55"/>
      <c r="BQ79" s="55"/>
      <c r="BR79" s="55"/>
      <c r="BS79" s="55"/>
      <c r="BT79" s="55"/>
      <c r="BU79" s="55"/>
      <c r="BV79" s="55"/>
      <c r="BW79" s="55"/>
      <c r="BX79" s="55"/>
      <c r="BY79" s="55"/>
      <c r="BZ79" s="55"/>
      <c r="CA79" s="55"/>
      <c r="CB79" s="55"/>
      <c r="CC79" s="55"/>
      <c r="CD79" s="55"/>
      <c r="CE79" s="55"/>
      <c r="CF79" s="55"/>
      <c r="CG79" s="55"/>
      <c r="CH79" s="55"/>
      <c r="CI79" s="55"/>
      <c r="CJ79" s="55"/>
      <c r="CK79" s="55"/>
      <c r="CL79" s="55"/>
      <c r="CM79" s="55"/>
      <c r="CN79" s="55"/>
      <c r="CO79" s="55"/>
      <c r="CP79" s="55"/>
      <c r="CQ79" s="55"/>
      <c r="CR79" s="55"/>
      <c r="CS79" s="55"/>
      <c r="CT79" s="55"/>
      <c r="CU79" s="55"/>
      <c r="CV79" s="55"/>
      <c r="CW79" s="55"/>
      <c r="CX79" s="55"/>
      <c r="CY79" s="55"/>
      <c r="CZ79" s="55"/>
      <c r="DA79" s="55"/>
      <c r="DB79" s="55"/>
      <c r="DC79" s="55"/>
      <c r="DD79" s="55"/>
      <c r="DE79" s="55"/>
      <c r="DF79" s="55"/>
      <c r="DG79" s="55"/>
      <c r="DH79" s="55"/>
      <c r="DI79" s="55"/>
      <c r="DJ79" s="55"/>
      <c r="DK79" s="55"/>
      <c r="DL79" s="55"/>
      <c r="DM79" s="55"/>
      <c r="DN79" s="55"/>
      <c r="DO79" s="55"/>
      <c r="DP79" s="55"/>
      <c r="DQ79" s="55"/>
      <c r="DR79" s="55"/>
      <c r="DS79" s="55"/>
      <c r="DT79" s="55"/>
      <c r="DU79" s="55"/>
      <c r="DV79" s="55"/>
      <c r="DW79" s="55"/>
      <c r="DX79" s="55"/>
      <c r="DY79" s="55"/>
      <c r="DZ79" s="55"/>
      <c r="EA79" s="55"/>
      <c r="EB79" s="55"/>
      <c r="EC79" s="55"/>
      <c r="ED79" s="55"/>
      <c r="EE79" s="55"/>
      <c r="EF79" s="55"/>
      <c r="EG79" s="55"/>
      <c r="EH79" s="55"/>
      <c r="EI79" s="55"/>
      <c r="EJ79" s="55"/>
      <c r="EK79" s="55"/>
      <c r="EL79" s="55"/>
      <c r="EM79" s="55"/>
      <c r="EN79" s="55"/>
      <c r="EO79" s="55"/>
      <c r="EP79" s="55"/>
      <c r="EQ79" s="55"/>
      <c r="ER79" s="55"/>
      <c r="ES79" s="55"/>
      <c r="ET79" s="55"/>
      <c r="EU79" s="55"/>
      <c r="EV79" s="55"/>
      <c r="EW79" s="55"/>
      <c r="EX79" s="55"/>
      <c r="EY79" s="55"/>
      <c r="EZ79" s="55"/>
      <c r="FA79" s="55"/>
      <c r="FB79" s="55"/>
      <c r="FC79" s="55"/>
      <c r="FD79" s="55"/>
      <c r="FE79" s="55"/>
      <c r="FF79" s="55"/>
      <c r="FG79" s="55"/>
      <c r="FH79" s="55"/>
      <c r="FI79" s="55"/>
      <c r="FJ79" s="55"/>
      <c r="FK79" s="55"/>
      <c r="FL79" s="55"/>
      <c r="FM79" s="55"/>
      <c r="FN79" s="55"/>
      <c r="FO79" s="55"/>
      <c r="FP79" s="55"/>
      <c r="FQ79" s="55"/>
      <c r="FR79" s="55"/>
      <c r="FS79" s="55"/>
      <c r="FT79" s="55"/>
      <c r="FU79" s="55"/>
      <c r="FV79" s="55"/>
      <c r="FW79" s="55"/>
      <c r="FX79" s="55"/>
      <c r="FY79" s="55"/>
      <c r="FZ79" s="55"/>
      <c r="GA79" s="55"/>
      <c r="GB79" s="55"/>
      <c r="GC79" s="55"/>
      <c r="GD79" s="55"/>
      <c r="GE79" s="55"/>
      <c r="GF79" s="55"/>
      <c r="GG79" s="55"/>
      <c r="GH79" s="55"/>
      <c r="GI79" s="55"/>
      <c r="GJ79" s="55"/>
      <c r="GK79" s="55"/>
      <c r="GL79" s="55"/>
      <c r="GM79" s="55"/>
      <c r="GN79" s="55"/>
      <c r="GO79" s="55"/>
      <c r="GP79" s="55"/>
      <c r="GQ79" s="55"/>
      <c r="GR79" s="55"/>
      <c r="GS79" s="55"/>
      <c r="GT79" s="55"/>
      <c r="GU79" s="55"/>
      <c r="GV79" s="55"/>
      <c r="GW79" s="55"/>
      <c r="GX79" s="55"/>
      <c r="GY79" s="55"/>
      <c r="GZ79" s="55"/>
      <c r="HA79" s="55"/>
      <c r="HB79" s="55"/>
      <c r="HC79" s="55"/>
      <c r="HD79" s="55"/>
      <c r="HE79" s="55"/>
      <c r="HF79" s="55"/>
      <c r="HG79" s="55"/>
      <c r="HH79" s="55"/>
      <c r="HI79" s="55"/>
      <c r="HJ79" s="55"/>
      <c r="HK79" s="55"/>
      <c r="HL79" s="55"/>
      <c r="HM79" s="55"/>
      <c r="HN79" s="55"/>
    </row>
    <row r="80" spans="1:222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  <c r="BD80" s="55"/>
      <c r="BE80" s="55"/>
      <c r="BF80" s="55"/>
      <c r="BG80" s="55"/>
      <c r="BH80" s="55"/>
      <c r="BI80" s="55"/>
      <c r="BJ80" s="55"/>
      <c r="BK80" s="55"/>
      <c r="BL80" s="55"/>
      <c r="BM80" s="55"/>
      <c r="BN80" s="55"/>
      <c r="BO80" s="55"/>
      <c r="BP80" s="55"/>
      <c r="BQ80" s="55"/>
      <c r="BR80" s="55"/>
      <c r="BS80" s="55"/>
      <c r="BT80" s="55"/>
      <c r="BU80" s="55"/>
      <c r="BV80" s="55"/>
      <c r="BW80" s="55"/>
      <c r="BX80" s="55"/>
      <c r="BY80" s="55"/>
      <c r="BZ80" s="55"/>
      <c r="CA80" s="55"/>
      <c r="CB80" s="55"/>
      <c r="CC80" s="55"/>
      <c r="CD80" s="55"/>
      <c r="CE80" s="55"/>
      <c r="CF80" s="55"/>
      <c r="CG80" s="55"/>
      <c r="CH80" s="55"/>
      <c r="CI80" s="55"/>
      <c r="CJ80" s="55"/>
      <c r="CK80" s="55"/>
      <c r="CL80" s="55"/>
      <c r="CM80" s="55"/>
      <c r="CN80" s="55"/>
      <c r="CO80" s="55"/>
      <c r="CP80" s="55"/>
      <c r="CQ80" s="55"/>
      <c r="CR80" s="55"/>
      <c r="CS80" s="55"/>
      <c r="CT80" s="55"/>
      <c r="CU80" s="55"/>
      <c r="CV80" s="55"/>
      <c r="CW80" s="55"/>
      <c r="CX80" s="55"/>
      <c r="CY80" s="55"/>
      <c r="CZ80" s="55"/>
      <c r="DA80" s="55"/>
      <c r="DB80" s="55"/>
      <c r="DC80" s="55"/>
      <c r="DD80" s="55"/>
      <c r="DE80" s="55"/>
      <c r="DF80" s="55"/>
      <c r="DG80" s="55"/>
      <c r="DH80" s="55"/>
      <c r="DI80" s="55"/>
      <c r="DJ80" s="55"/>
      <c r="DK80" s="55"/>
      <c r="DL80" s="55"/>
      <c r="DM80" s="55"/>
      <c r="DN80" s="55"/>
      <c r="DO80" s="55"/>
      <c r="DP80" s="55"/>
      <c r="DQ80" s="55"/>
      <c r="DR80" s="55"/>
      <c r="DS80" s="55"/>
      <c r="DT80" s="55"/>
      <c r="DU80" s="55"/>
      <c r="DV80" s="55"/>
      <c r="DW80" s="55"/>
      <c r="DX80" s="55"/>
      <c r="DY80" s="55"/>
      <c r="DZ80" s="55"/>
      <c r="EA80" s="55"/>
      <c r="EB80" s="55"/>
      <c r="EC80" s="55"/>
      <c r="ED80" s="55"/>
      <c r="EE80" s="55"/>
      <c r="EF80" s="55"/>
      <c r="EG80" s="55"/>
      <c r="EH80" s="55"/>
      <c r="EI80" s="55"/>
      <c r="EJ80" s="55"/>
      <c r="EK80" s="55"/>
      <c r="EL80" s="55"/>
      <c r="EM80" s="55"/>
      <c r="EN80" s="55"/>
      <c r="EO80" s="55"/>
      <c r="EP80" s="55"/>
      <c r="EQ80" s="55"/>
      <c r="ER80" s="55"/>
      <c r="ES80" s="55"/>
      <c r="ET80" s="55"/>
      <c r="EU80" s="55"/>
      <c r="EV80" s="55"/>
      <c r="EW80" s="55"/>
      <c r="EX80" s="55"/>
      <c r="EY80" s="55"/>
      <c r="EZ80" s="55"/>
      <c r="FA80" s="55"/>
      <c r="FB80" s="55"/>
      <c r="FC80" s="55"/>
      <c r="FD80" s="55"/>
      <c r="FE80" s="55"/>
      <c r="FF80" s="55"/>
      <c r="FG80" s="55"/>
      <c r="FH80" s="55"/>
      <c r="FI80" s="55"/>
      <c r="FJ80" s="55"/>
      <c r="FK80" s="55"/>
      <c r="FL80" s="55"/>
      <c r="FM80" s="55"/>
      <c r="FN80" s="55"/>
      <c r="FO80" s="55"/>
      <c r="FP80" s="55"/>
      <c r="FQ80" s="55"/>
      <c r="FR80" s="55"/>
      <c r="FS80" s="55"/>
      <c r="FT80" s="55"/>
      <c r="FU80" s="55"/>
      <c r="FV80" s="55"/>
      <c r="FW80" s="55"/>
      <c r="FX80" s="55"/>
      <c r="FY80" s="55"/>
      <c r="FZ80" s="55"/>
      <c r="GA80" s="55"/>
      <c r="GB80" s="55"/>
      <c r="GC80" s="55"/>
      <c r="GD80" s="55"/>
      <c r="GE80" s="55"/>
      <c r="GF80" s="55"/>
      <c r="GG80" s="55"/>
      <c r="GH80" s="55"/>
      <c r="GI80" s="55"/>
      <c r="GJ80" s="55"/>
      <c r="GK80" s="55"/>
      <c r="GL80" s="55"/>
      <c r="GM80" s="55"/>
      <c r="GN80" s="55"/>
      <c r="GO80" s="55"/>
      <c r="GP80" s="55"/>
      <c r="GQ80" s="55"/>
      <c r="GR80" s="55"/>
      <c r="GS80" s="55"/>
      <c r="GT80" s="55"/>
      <c r="GU80" s="55"/>
      <c r="GV80" s="55"/>
      <c r="GW80" s="55"/>
      <c r="GX80" s="55"/>
      <c r="GY80" s="55"/>
      <c r="GZ80" s="55"/>
      <c r="HA80" s="55"/>
      <c r="HB80" s="55"/>
      <c r="HC80" s="55"/>
      <c r="HD80" s="55"/>
      <c r="HE80" s="55"/>
      <c r="HF80" s="55"/>
      <c r="HG80" s="55"/>
      <c r="HH80" s="55"/>
      <c r="HI80" s="55"/>
      <c r="HJ80" s="55"/>
      <c r="HK80" s="55"/>
      <c r="HL80" s="55"/>
      <c r="HM80" s="55"/>
      <c r="HN80" s="55"/>
    </row>
    <row r="81" spans="1:222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  <c r="BD81" s="55"/>
      <c r="BE81" s="55"/>
      <c r="BF81" s="55"/>
      <c r="BG81" s="55"/>
      <c r="BH81" s="55"/>
      <c r="BI81" s="55"/>
      <c r="BJ81" s="55"/>
      <c r="BK81" s="55"/>
      <c r="BL81" s="55"/>
      <c r="BM81" s="55"/>
      <c r="BN81" s="55"/>
      <c r="BO81" s="55"/>
      <c r="BP81" s="55"/>
      <c r="BQ81" s="55"/>
      <c r="BR81" s="55"/>
      <c r="BS81" s="55"/>
      <c r="BT81" s="55"/>
      <c r="BU81" s="55"/>
      <c r="BV81" s="55"/>
      <c r="BW81" s="55"/>
      <c r="BX81" s="55"/>
      <c r="BY81" s="55"/>
      <c r="BZ81" s="55"/>
      <c r="CA81" s="55"/>
      <c r="CB81" s="55"/>
      <c r="CC81" s="55"/>
      <c r="CD81" s="55"/>
      <c r="CE81" s="55"/>
      <c r="CF81" s="55"/>
      <c r="CG81" s="55"/>
      <c r="CH81" s="55"/>
      <c r="CI81" s="55"/>
      <c r="CJ81" s="55"/>
      <c r="CK81" s="55"/>
      <c r="CL81" s="55"/>
      <c r="CM81" s="55"/>
      <c r="CN81" s="55"/>
      <c r="CO81" s="55"/>
      <c r="CP81" s="55"/>
      <c r="CQ81" s="55"/>
      <c r="CR81" s="55"/>
      <c r="CS81" s="55"/>
      <c r="CT81" s="55"/>
      <c r="CU81" s="55"/>
      <c r="CV81" s="55"/>
      <c r="CW81" s="55"/>
      <c r="CX81" s="55"/>
      <c r="CY81" s="55"/>
      <c r="CZ81" s="55"/>
      <c r="DA81" s="55"/>
      <c r="DB81" s="55"/>
      <c r="DC81" s="55"/>
      <c r="DD81" s="55"/>
      <c r="DE81" s="55"/>
      <c r="DF81" s="55"/>
      <c r="DG81" s="55"/>
      <c r="DH81" s="55"/>
      <c r="DI81" s="55"/>
      <c r="DJ81" s="55"/>
      <c r="DK81" s="55"/>
      <c r="DL81" s="55"/>
      <c r="DM81" s="55"/>
      <c r="DN81" s="55"/>
      <c r="DO81" s="55"/>
      <c r="DP81" s="55"/>
      <c r="DQ81" s="55"/>
      <c r="DR81" s="55"/>
      <c r="DS81" s="55"/>
      <c r="DT81" s="55"/>
      <c r="DU81" s="55"/>
      <c r="DV81" s="55"/>
      <c r="DW81" s="55"/>
      <c r="DX81" s="55"/>
      <c r="DY81" s="55"/>
      <c r="DZ81" s="55"/>
      <c r="EA81" s="55"/>
      <c r="EB81" s="55"/>
      <c r="EC81" s="55"/>
      <c r="ED81" s="55"/>
      <c r="EE81" s="55"/>
      <c r="EF81" s="55"/>
      <c r="EG81" s="55"/>
      <c r="EH81" s="55"/>
      <c r="EI81" s="55"/>
      <c r="EJ81" s="55"/>
      <c r="EK81" s="55"/>
      <c r="EL81" s="55"/>
      <c r="EM81" s="55"/>
      <c r="EN81" s="55"/>
      <c r="EO81" s="55"/>
      <c r="EP81" s="55"/>
      <c r="EQ81" s="55"/>
      <c r="ER81" s="55"/>
      <c r="ES81" s="55"/>
      <c r="ET81" s="55"/>
      <c r="EU81" s="55"/>
      <c r="EV81" s="55"/>
      <c r="EW81" s="55"/>
      <c r="EX81" s="55"/>
      <c r="EY81" s="55"/>
      <c r="EZ81" s="55"/>
      <c r="FA81" s="55"/>
      <c r="FB81" s="55"/>
      <c r="FC81" s="55"/>
      <c r="FD81" s="55"/>
      <c r="FE81" s="55"/>
      <c r="FF81" s="55"/>
      <c r="FG81" s="55"/>
      <c r="FH81" s="55"/>
      <c r="FI81" s="55"/>
      <c r="FJ81" s="55"/>
      <c r="FK81" s="55"/>
      <c r="FL81" s="55"/>
      <c r="FM81" s="55"/>
      <c r="FN81" s="55"/>
      <c r="FO81" s="55"/>
      <c r="FP81" s="55"/>
      <c r="FQ81" s="55"/>
      <c r="FR81" s="55"/>
      <c r="FS81" s="55"/>
      <c r="FT81" s="55"/>
      <c r="FU81" s="55"/>
      <c r="FV81" s="55"/>
      <c r="FW81" s="55"/>
      <c r="FX81" s="55"/>
      <c r="FY81" s="55"/>
      <c r="FZ81" s="55"/>
      <c r="GA81" s="55"/>
      <c r="GB81" s="55"/>
      <c r="GC81" s="55"/>
      <c r="GD81" s="55"/>
      <c r="GE81" s="55"/>
      <c r="GF81" s="55"/>
      <c r="GG81" s="55"/>
      <c r="GH81" s="55"/>
      <c r="GI81" s="55"/>
      <c r="GJ81" s="55"/>
      <c r="GK81" s="55"/>
      <c r="GL81" s="55"/>
      <c r="GM81" s="55"/>
      <c r="GN81" s="55"/>
      <c r="GO81" s="55"/>
      <c r="GP81" s="55"/>
      <c r="GQ81" s="55"/>
      <c r="GR81" s="55"/>
      <c r="GS81" s="55"/>
      <c r="GT81" s="55"/>
      <c r="GU81" s="55"/>
      <c r="GV81" s="55"/>
      <c r="GW81" s="55"/>
      <c r="GX81" s="55"/>
      <c r="GY81" s="55"/>
      <c r="GZ81" s="55"/>
      <c r="HA81" s="55"/>
      <c r="HB81" s="55"/>
      <c r="HC81" s="55"/>
      <c r="HD81" s="55"/>
      <c r="HE81" s="55"/>
      <c r="HF81" s="55"/>
      <c r="HG81" s="55"/>
      <c r="HH81" s="55"/>
      <c r="HI81" s="55"/>
      <c r="HJ81" s="55"/>
      <c r="HK81" s="55"/>
      <c r="HL81" s="55"/>
      <c r="HM81" s="55"/>
      <c r="HN81" s="55"/>
    </row>
    <row r="82" spans="1:222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  <c r="BB82" s="55"/>
      <c r="BC82" s="55"/>
      <c r="BD82" s="55"/>
      <c r="BE82" s="55"/>
      <c r="BF82" s="55"/>
      <c r="BG82" s="55"/>
      <c r="BH82" s="55"/>
      <c r="BI82" s="55"/>
      <c r="BJ82" s="55"/>
      <c r="BK82" s="55"/>
      <c r="BL82" s="55"/>
      <c r="BM82" s="55"/>
      <c r="BN82" s="55"/>
      <c r="BO82" s="55"/>
      <c r="BP82" s="55"/>
      <c r="BQ82" s="55"/>
      <c r="BR82" s="55"/>
      <c r="BS82" s="55"/>
      <c r="BT82" s="55"/>
      <c r="BU82" s="55"/>
      <c r="BV82" s="55"/>
      <c r="BW82" s="55"/>
      <c r="BX82" s="55"/>
      <c r="BY82" s="55"/>
      <c r="BZ82" s="55"/>
      <c r="CA82" s="55"/>
      <c r="CB82" s="55"/>
      <c r="CC82" s="55"/>
      <c r="CD82" s="55"/>
      <c r="CE82" s="55"/>
      <c r="CF82" s="55"/>
      <c r="CG82" s="55"/>
      <c r="CH82" s="55"/>
      <c r="CI82" s="55"/>
      <c r="CJ82" s="55"/>
      <c r="CK82" s="55"/>
      <c r="CL82" s="55"/>
      <c r="CM82" s="55"/>
      <c r="CN82" s="55"/>
      <c r="CO82" s="55"/>
      <c r="CP82" s="55"/>
      <c r="CQ82" s="55"/>
      <c r="CR82" s="55"/>
      <c r="CS82" s="55"/>
      <c r="CT82" s="55"/>
      <c r="CU82" s="55"/>
      <c r="CV82" s="55"/>
      <c r="CW82" s="55"/>
      <c r="CX82" s="55"/>
      <c r="CY82" s="55"/>
      <c r="CZ82" s="55"/>
      <c r="DA82" s="55"/>
      <c r="DB82" s="55"/>
      <c r="DC82" s="55"/>
      <c r="DD82" s="55"/>
      <c r="DE82" s="55"/>
      <c r="DF82" s="55"/>
      <c r="DG82" s="55"/>
      <c r="DH82" s="55"/>
      <c r="DI82" s="55"/>
      <c r="DJ82" s="55"/>
      <c r="DK82" s="55"/>
      <c r="DL82" s="55"/>
      <c r="DM82" s="55"/>
      <c r="DN82" s="55"/>
      <c r="DO82" s="55"/>
      <c r="DP82" s="55"/>
      <c r="DQ82" s="55"/>
      <c r="DR82" s="55"/>
      <c r="DS82" s="55"/>
      <c r="DT82" s="55"/>
      <c r="DU82" s="55"/>
      <c r="DV82" s="55"/>
      <c r="DW82" s="55"/>
      <c r="DX82" s="55"/>
      <c r="DY82" s="55"/>
      <c r="DZ82" s="55"/>
      <c r="EA82" s="55"/>
      <c r="EB82" s="55"/>
      <c r="EC82" s="55"/>
      <c r="ED82" s="55"/>
      <c r="EE82" s="55"/>
      <c r="EF82" s="55"/>
      <c r="EG82" s="55"/>
      <c r="EH82" s="55"/>
      <c r="EI82" s="55"/>
      <c r="EJ82" s="55"/>
      <c r="EK82" s="55"/>
      <c r="EL82" s="55"/>
      <c r="EM82" s="55"/>
      <c r="EN82" s="55"/>
      <c r="EO82" s="55"/>
      <c r="EP82" s="55"/>
      <c r="EQ82" s="55"/>
      <c r="ER82" s="55"/>
      <c r="ES82" s="55"/>
      <c r="ET82" s="55"/>
      <c r="EU82" s="55"/>
      <c r="EV82" s="55"/>
      <c r="EW82" s="55"/>
      <c r="EX82" s="55"/>
      <c r="EY82" s="55"/>
      <c r="EZ82" s="55"/>
      <c r="FA82" s="55"/>
      <c r="FB82" s="55"/>
      <c r="FC82" s="55"/>
      <c r="FD82" s="55"/>
      <c r="FE82" s="55"/>
      <c r="FF82" s="55"/>
      <c r="FG82" s="55"/>
      <c r="FH82" s="55"/>
      <c r="FI82" s="55"/>
      <c r="FJ82" s="55"/>
      <c r="FK82" s="55"/>
      <c r="FL82" s="55"/>
      <c r="FM82" s="55"/>
      <c r="FN82" s="55"/>
      <c r="FO82" s="55"/>
      <c r="FP82" s="55"/>
      <c r="FQ82" s="55"/>
      <c r="FR82" s="55"/>
      <c r="FS82" s="55"/>
      <c r="FT82" s="55"/>
      <c r="FU82" s="55"/>
      <c r="FV82" s="55"/>
      <c r="FW82" s="55"/>
      <c r="FX82" s="55"/>
      <c r="FY82" s="55"/>
      <c r="FZ82" s="55"/>
      <c r="GA82" s="55"/>
      <c r="GB82" s="55"/>
      <c r="GC82" s="55"/>
      <c r="GD82" s="55"/>
      <c r="GE82" s="55"/>
      <c r="GF82" s="55"/>
      <c r="GG82" s="55"/>
      <c r="GH82" s="55"/>
      <c r="GI82" s="55"/>
      <c r="GJ82" s="55"/>
      <c r="GK82" s="55"/>
      <c r="GL82" s="55"/>
      <c r="GM82" s="55"/>
      <c r="GN82" s="55"/>
      <c r="GO82" s="55"/>
      <c r="GP82" s="55"/>
      <c r="GQ82" s="55"/>
      <c r="GR82" s="55"/>
      <c r="GS82" s="55"/>
      <c r="GT82" s="55"/>
      <c r="GU82" s="55"/>
      <c r="GV82" s="55"/>
      <c r="GW82" s="55"/>
      <c r="GX82" s="55"/>
      <c r="GY82" s="55"/>
      <c r="GZ82" s="55"/>
      <c r="HA82" s="55"/>
      <c r="HB82" s="55"/>
      <c r="HC82" s="55"/>
      <c r="HD82" s="55"/>
      <c r="HE82" s="55"/>
      <c r="HF82" s="55"/>
      <c r="HG82" s="55"/>
      <c r="HH82" s="55"/>
      <c r="HI82" s="55"/>
      <c r="HJ82" s="55"/>
      <c r="HK82" s="55"/>
      <c r="HL82" s="55"/>
      <c r="HM82" s="55"/>
      <c r="HN82" s="55"/>
    </row>
    <row r="83" spans="1:222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55"/>
      <c r="BB83" s="55"/>
      <c r="BC83" s="55"/>
      <c r="BD83" s="55"/>
      <c r="BE83" s="55"/>
      <c r="BF83" s="55"/>
      <c r="BG83" s="55"/>
      <c r="BH83" s="55"/>
      <c r="BI83" s="55"/>
      <c r="BJ83" s="55"/>
      <c r="BK83" s="55"/>
      <c r="BL83" s="55"/>
      <c r="BM83" s="55"/>
      <c r="BN83" s="55"/>
      <c r="BO83" s="55"/>
      <c r="BP83" s="55"/>
      <c r="BQ83" s="55"/>
      <c r="BR83" s="55"/>
      <c r="BS83" s="55"/>
      <c r="BT83" s="55"/>
      <c r="BU83" s="55"/>
      <c r="BV83" s="55"/>
      <c r="BW83" s="55"/>
      <c r="BX83" s="55"/>
      <c r="BY83" s="55"/>
      <c r="BZ83" s="55"/>
      <c r="CA83" s="55"/>
      <c r="CB83" s="55"/>
      <c r="CC83" s="55"/>
      <c r="CD83" s="55"/>
      <c r="CE83" s="55"/>
      <c r="CF83" s="55"/>
      <c r="CG83" s="55"/>
      <c r="CH83" s="55"/>
      <c r="CI83" s="55"/>
      <c r="CJ83" s="55"/>
      <c r="CK83" s="55"/>
      <c r="CL83" s="55"/>
      <c r="CM83" s="55"/>
      <c r="CN83" s="55"/>
      <c r="CO83" s="55"/>
      <c r="CP83" s="55"/>
      <c r="CQ83" s="55"/>
      <c r="CR83" s="55"/>
      <c r="CS83" s="55"/>
      <c r="CT83" s="55"/>
      <c r="CU83" s="55"/>
      <c r="CV83" s="55"/>
      <c r="CW83" s="55"/>
      <c r="CX83" s="55"/>
      <c r="CY83" s="55"/>
      <c r="CZ83" s="55"/>
      <c r="DA83" s="55"/>
      <c r="DB83" s="55"/>
      <c r="DC83" s="55"/>
      <c r="DD83" s="55"/>
      <c r="DE83" s="55"/>
      <c r="DF83" s="55"/>
      <c r="DG83" s="55"/>
      <c r="DH83" s="55"/>
      <c r="DI83" s="55"/>
      <c r="DJ83" s="55"/>
      <c r="DK83" s="55"/>
      <c r="DL83" s="55"/>
      <c r="DM83" s="55"/>
      <c r="DN83" s="55"/>
      <c r="DO83" s="55"/>
      <c r="DP83" s="55"/>
      <c r="DQ83" s="55"/>
      <c r="DR83" s="55"/>
      <c r="DS83" s="55"/>
      <c r="DT83" s="55"/>
      <c r="DU83" s="55"/>
      <c r="DV83" s="55"/>
      <c r="DW83" s="55"/>
      <c r="DX83" s="55"/>
      <c r="DY83" s="55"/>
      <c r="DZ83" s="55"/>
      <c r="EA83" s="55"/>
      <c r="EB83" s="55"/>
      <c r="EC83" s="55"/>
      <c r="ED83" s="55"/>
      <c r="EE83" s="55"/>
      <c r="EF83" s="55"/>
      <c r="EG83" s="55"/>
      <c r="EH83" s="55"/>
      <c r="EI83" s="55"/>
      <c r="EJ83" s="55"/>
      <c r="EK83" s="55"/>
      <c r="EL83" s="55"/>
      <c r="EM83" s="55"/>
      <c r="EN83" s="55"/>
      <c r="EO83" s="55"/>
      <c r="EP83" s="55"/>
      <c r="EQ83" s="55"/>
      <c r="ER83" s="55"/>
      <c r="ES83" s="55"/>
      <c r="ET83" s="55"/>
      <c r="EU83" s="55"/>
      <c r="EV83" s="55"/>
      <c r="EW83" s="55"/>
      <c r="EX83" s="55"/>
      <c r="EY83" s="55"/>
      <c r="EZ83" s="55"/>
      <c r="FA83" s="55"/>
      <c r="FB83" s="55"/>
      <c r="FC83" s="55"/>
      <c r="FD83" s="55"/>
      <c r="FE83" s="55"/>
      <c r="FF83" s="55"/>
      <c r="FG83" s="55"/>
      <c r="FH83" s="55"/>
      <c r="FI83" s="55"/>
      <c r="FJ83" s="55"/>
      <c r="FK83" s="55"/>
      <c r="FL83" s="55"/>
      <c r="FM83" s="55"/>
      <c r="FN83" s="55"/>
      <c r="FO83" s="55"/>
      <c r="FP83" s="55"/>
      <c r="FQ83" s="55"/>
      <c r="FR83" s="55"/>
      <c r="FS83" s="55"/>
      <c r="FT83" s="55"/>
      <c r="FU83" s="55"/>
      <c r="FV83" s="55"/>
      <c r="FW83" s="55"/>
      <c r="FX83" s="55"/>
      <c r="FY83" s="55"/>
      <c r="FZ83" s="55"/>
      <c r="GA83" s="55"/>
      <c r="GB83" s="55"/>
      <c r="GC83" s="55"/>
      <c r="GD83" s="55"/>
      <c r="GE83" s="55"/>
      <c r="GF83" s="55"/>
      <c r="GG83" s="55"/>
      <c r="GH83" s="55"/>
      <c r="GI83" s="55"/>
      <c r="GJ83" s="55"/>
      <c r="GK83" s="55"/>
      <c r="GL83" s="55"/>
      <c r="GM83" s="55"/>
      <c r="GN83" s="55"/>
      <c r="GO83" s="55"/>
      <c r="GP83" s="55"/>
      <c r="GQ83" s="55"/>
      <c r="GR83" s="55"/>
      <c r="GS83" s="55"/>
      <c r="GT83" s="55"/>
      <c r="GU83" s="55"/>
      <c r="GV83" s="55"/>
      <c r="GW83" s="55"/>
      <c r="GX83" s="55"/>
      <c r="GY83" s="55"/>
      <c r="GZ83" s="55"/>
      <c r="HA83" s="55"/>
      <c r="HB83" s="55"/>
      <c r="HC83" s="55"/>
      <c r="HD83" s="55"/>
      <c r="HE83" s="55"/>
      <c r="HF83" s="55"/>
      <c r="HG83" s="55"/>
      <c r="HH83" s="55"/>
      <c r="HI83" s="55"/>
      <c r="HJ83" s="55"/>
      <c r="HK83" s="55"/>
      <c r="HL83" s="55"/>
      <c r="HM83" s="55"/>
      <c r="HN83" s="55"/>
    </row>
    <row r="84" spans="1:222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  <c r="BB84" s="55"/>
      <c r="BC84" s="55"/>
      <c r="BD84" s="55"/>
      <c r="BE84" s="55"/>
      <c r="BF84" s="55"/>
      <c r="BG84" s="55"/>
      <c r="BH84" s="55"/>
      <c r="BI84" s="55"/>
      <c r="BJ84" s="55"/>
      <c r="BK84" s="55"/>
      <c r="BL84" s="55"/>
      <c r="BM84" s="55"/>
      <c r="BN84" s="55"/>
      <c r="BO84" s="55"/>
      <c r="BP84" s="55"/>
      <c r="BQ84" s="55"/>
      <c r="BR84" s="55"/>
      <c r="BS84" s="55"/>
      <c r="BT84" s="55"/>
      <c r="BU84" s="55"/>
      <c r="BV84" s="55"/>
      <c r="BW84" s="55"/>
      <c r="BX84" s="55"/>
      <c r="BY84" s="55"/>
      <c r="BZ84" s="55"/>
      <c r="CA84" s="55"/>
      <c r="CB84" s="55"/>
      <c r="CC84" s="55"/>
      <c r="CD84" s="55"/>
      <c r="CE84" s="55"/>
      <c r="CF84" s="55"/>
      <c r="CG84" s="55"/>
      <c r="CH84" s="55"/>
      <c r="CI84" s="55"/>
      <c r="CJ84" s="55"/>
      <c r="CK84" s="55"/>
      <c r="CL84" s="55"/>
      <c r="CM84" s="55"/>
      <c r="CN84" s="55"/>
      <c r="CO84" s="55"/>
      <c r="CP84" s="55"/>
      <c r="CQ84" s="55"/>
      <c r="CR84" s="55"/>
      <c r="CS84" s="55"/>
      <c r="CT84" s="55"/>
      <c r="CU84" s="55"/>
      <c r="CV84" s="55"/>
      <c r="CW84" s="55"/>
      <c r="CX84" s="55"/>
      <c r="CY84" s="55"/>
      <c r="CZ84" s="55"/>
      <c r="DA84" s="55"/>
      <c r="DB84" s="55"/>
      <c r="DC84" s="55"/>
      <c r="DD84" s="55"/>
      <c r="DE84" s="55"/>
      <c r="DF84" s="55"/>
      <c r="DG84" s="55"/>
      <c r="DH84" s="55"/>
      <c r="DI84" s="55"/>
      <c r="DJ84" s="55"/>
      <c r="DK84" s="55"/>
      <c r="DL84" s="55"/>
      <c r="DM84" s="55"/>
      <c r="DN84" s="55"/>
      <c r="DO84" s="55"/>
      <c r="DP84" s="55"/>
      <c r="DQ84" s="55"/>
      <c r="DR84" s="55"/>
      <c r="DS84" s="55"/>
      <c r="DT84" s="55"/>
      <c r="DU84" s="55"/>
      <c r="DV84" s="55"/>
      <c r="DW84" s="55"/>
      <c r="DX84" s="55"/>
      <c r="DY84" s="55"/>
      <c r="DZ84" s="55"/>
      <c r="EA84" s="55"/>
      <c r="EB84" s="55"/>
      <c r="EC84" s="55"/>
      <c r="ED84" s="55"/>
      <c r="EE84" s="55"/>
      <c r="EF84" s="55"/>
      <c r="EG84" s="55"/>
      <c r="EH84" s="55"/>
      <c r="EI84" s="55"/>
      <c r="EJ84" s="55"/>
      <c r="EK84" s="55"/>
      <c r="EL84" s="55"/>
      <c r="EM84" s="55"/>
      <c r="EN84" s="55"/>
      <c r="EO84" s="55"/>
      <c r="EP84" s="55"/>
      <c r="EQ84" s="55"/>
      <c r="ER84" s="55"/>
      <c r="ES84" s="55"/>
      <c r="ET84" s="55"/>
      <c r="EU84" s="55"/>
      <c r="EV84" s="55"/>
      <c r="EW84" s="55"/>
      <c r="EX84" s="55"/>
      <c r="EY84" s="55"/>
      <c r="EZ84" s="55"/>
      <c r="FA84" s="55"/>
      <c r="FB84" s="55"/>
      <c r="FC84" s="55"/>
      <c r="FD84" s="55"/>
      <c r="FE84" s="55"/>
      <c r="FF84" s="55"/>
      <c r="FG84" s="55"/>
      <c r="FH84" s="55"/>
      <c r="FI84" s="55"/>
      <c r="FJ84" s="55"/>
      <c r="FK84" s="55"/>
      <c r="FL84" s="55"/>
      <c r="FM84" s="55"/>
      <c r="FN84" s="55"/>
      <c r="FO84" s="55"/>
      <c r="FP84" s="55"/>
      <c r="FQ84" s="55"/>
      <c r="FR84" s="55"/>
      <c r="FS84" s="55"/>
      <c r="FT84" s="55"/>
      <c r="FU84" s="55"/>
      <c r="FV84" s="55"/>
      <c r="FW84" s="55"/>
      <c r="FX84" s="55"/>
      <c r="FY84" s="55"/>
      <c r="FZ84" s="55"/>
      <c r="GA84" s="55"/>
      <c r="GB84" s="55"/>
      <c r="GC84" s="55"/>
      <c r="GD84" s="55"/>
      <c r="GE84" s="55"/>
      <c r="GF84" s="55"/>
      <c r="GG84" s="55"/>
      <c r="GH84" s="55"/>
      <c r="GI84" s="55"/>
      <c r="GJ84" s="55"/>
      <c r="GK84" s="55"/>
      <c r="GL84" s="55"/>
      <c r="GM84" s="55"/>
      <c r="GN84" s="55"/>
      <c r="GO84" s="55"/>
      <c r="GP84" s="55"/>
      <c r="GQ84" s="55"/>
      <c r="GR84" s="55"/>
      <c r="GS84" s="55"/>
      <c r="GT84" s="55"/>
      <c r="GU84" s="55"/>
      <c r="GV84" s="55"/>
      <c r="GW84" s="55"/>
      <c r="GX84" s="55"/>
      <c r="GY84" s="55"/>
      <c r="GZ84" s="55"/>
      <c r="HA84" s="55"/>
      <c r="HB84" s="55"/>
      <c r="HC84" s="55"/>
      <c r="HD84" s="55"/>
      <c r="HE84" s="55"/>
      <c r="HF84" s="55"/>
      <c r="HG84" s="55"/>
      <c r="HH84" s="55"/>
      <c r="HI84" s="55"/>
      <c r="HJ84" s="55"/>
      <c r="HK84" s="55"/>
      <c r="HL84" s="55"/>
      <c r="HM84" s="55"/>
      <c r="HN84" s="55"/>
    </row>
    <row r="85" spans="1:222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  <c r="BB85" s="55"/>
      <c r="BC85" s="55"/>
      <c r="BD85" s="55"/>
      <c r="BE85" s="55"/>
      <c r="BF85" s="55"/>
      <c r="BG85" s="55"/>
      <c r="BH85" s="55"/>
      <c r="BI85" s="55"/>
      <c r="BJ85" s="55"/>
      <c r="BK85" s="55"/>
      <c r="BL85" s="55"/>
      <c r="BM85" s="55"/>
      <c r="BN85" s="55"/>
      <c r="BO85" s="55"/>
      <c r="BP85" s="55"/>
      <c r="BQ85" s="55"/>
      <c r="BR85" s="55"/>
      <c r="BS85" s="55"/>
      <c r="BT85" s="55"/>
      <c r="BU85" s="55"/>
      <c r="BV85" s="55"/>
      <c r="BW85" s="55"/>
      <c r="BX85" s="55"/>
      <c r="BY85" s="55"/>
      <c r="BZ85" s="55"/>
      <c r="CA85" s="55"/>
      <c r="CB85" s="55"/>
      <c r="CC85" s="55"/>
      <c r="CD85" s="55"/>
      <c r="CE85" s="55"/>
      <c r="CF85" s="55"/>
      <c r="CG85" s="55"/>
      <c r="CH85" s="55"/>
      <c r="CI85" s="55"/>
      <c r="CJ85" s="55"/>
      <c r="CK85" s="55"/>
      <c r="CL85" s="55"/>
      <c r="CM85" s="55"/>
      <c r="CN85" s="55"/>
      <c r="CO85" s="55"/>
      <c r="CP85" s="55"/>
      <c r="CQ85" s="55"/>
      <c r="CR85" s="55"/>
      <c r="CS85" s="55"/>
      <c r="CT85" s="55"/>
      <c r="CU85" s="55"/>
      <c r="CV85" s="55"/>
      <c r="CW85" s="55"/>
      <c r="CX85" s="55"/>
      <c r="CY85" s="55"/>
      <c r="CZ85" s="55"/>
      <c r="DA85" s="55"/>
      <c r="DB85" s="55"/>
      <c r="DC85" s="55"/>
      <c r="DD85" s="55"/>
      <c r="DE85" s="55"/>
      <c r="DF85" s="55"/>
      <c r="DG85" s="55"/>
      <c r="DH85" s="55"/>
      <c r="DI85" s="55"/>
      <c r="DJ85" s="55"/>
      <c r="DK85" s="55"/>
      <c r="DL85" s="55"/>
      <c r="DM85" s="55"/>
      <c r="DN85" s="55"/>
      <c r="DO85" s="55"/>
      <c r="DP85" s="55"/>
      <c r="DQ85" s="55"/>
      <c r="DR85" s="55"/>
      <c r="DS85" s="55"/>
      <c r="DT85" s="55"/>
      <c r="DU85" s="55"/>
      <c r="DV85" s="55"/>
      <c r="DW85" s="55"/>
      <c r="DX85" s="55"/>
      <c r="DY85" s="55"/>
      <c r="DZ85" s="55"/>
      <c r="EA85" s="55"/>
      <c r="EB85" s="55"/>
      <c r="EC85" s="55"/>
      <c r="ED85" s="55"/>
      <c r="EE85" s="55"/>
      <c r="EF85" s="55"/>
      <c r="EG85" s="55"/>
      <c r="EH85" s="55"/>
      <c r="EI85" s="55"/>
      <c r="EJ85" s="55"/>
      <c r="EK85" s="55"/>
      <c r="EL85" s="55"/>
      <c r="EM85" s="55"/>
      <c r="EN85" s="55"/>
      <c r="EO85" s="55"/>
      <c r="EP85" s="55"/>
      <c r="EQ85" s="55"/>
      <c r="ER85" s="55"/>
      <c r="ES85" s="55"/>
      <c r="ET85" s="55"/>
      <c r="EU85" s="55"/>
      <c r="EV85" s="55"/>
      <c r="EW85" s="55"/>
      <c r="EX85" s="55"/>
      <c r="EY85" s="55"/>
      <c r="EZ85" s="55"/>
      <c r="FA85" s="55"/>
      <c r="FB85" s="55"/>
      <c r="FC85" s="55"/>
      <c r="FD85" s="55"/>
      <c r="FE85" s="55"/>
      <c r="FF85" s="55"/>
      <c r="FG85" s="55"/>
      <c r="FH85" s="55"/>
      <c r="FI85" s="55"/>
      <c r="FJ85" s="55"/>
      <c r="FK85" s="55"/>
      <c r="FL85" s="55"/>
      <c r="FM85" s="55"/>
      <c r="FN85" s="55"/>
      <c r="FO85" s="55"/>
      <c r="FP85" s="55"/>
      <c r="FQ85" s="55"/>
      <c r="FR85" s="55"/>
      <c r="FS85" s="55"/>
      <c r="FT85" s="55"/>
      <c r="FU85" s="55"/>
      <c r="FV85" s="55"/>
      <c r="FW85" s="55"/>
      <c r="FX85" s="55"/>
      <c r="FY85" s="55"/>
      <c r="FZ85" s="55"/>
      <c r="GA85" s="55"/>
      <c r="GB85" s="55"/>
      <c r="GC85" s="55"/>
      <c r="GD85" s="55"/>
      <c r="GE85" s="55"/>
      <c r="GF85" s="55"/>
      <c r="GG85" s="55"/>
      <c r="GH85" s="55"/>
      <c r="GI85" s="55"/>
      <c r="GJ85" s="55"/>
      <c r="GK85" s="55"/>
      <c r="GL85" s="55"/>
      <c r="GM85" s="55"/>
      <c r="GN85" s="55"/>
      <c r="GO85" s="55"/>
      <c r="GP85" s="55"/>
      <c r="GQ85" s="55"/>
      <c r="GR85" s="55"/>
      <c r="GS85" s="55"/>
      <c r="GT85" s="55"/>
      <c r="GU85" s="55"/>
      <c r="GV85" s="55"/>
      <c r="GW85" s="55"/>
      <c r="GX85" s="55"/>
      <c r="GY85" s="55"/>
      <c r="GZ85" s="55"/>
      <c r="HA85" s="55"/>
      <c r="HB85" s="55"/>
      <c r="HC85" s="55"/>
      <c r="HD85" s="55"/>
      <c r="HE85" s="55"/>
      <c r="HF85" s="55"/>
      <c r="HG85" s="55"/>
      <c r="HH85" s="55"/>
      <c r="HI85" s="55"/>
      <c r="HJ85" s="55"/>
      <c r="HK85" s="55"/>
      <c r="HL85" s="55"/>
      <c r="HM85" s="55"/>
      <c r="HN85" s="55"/>
    </row>
    <row r="86" spans="1:222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  <c r="BB86" s="55"/>
      <c r="BC86" s="55"/>
      <c r="BD86" s="55"/>
      <c r="BE86" s="55"/>
      <c r="BF86" s="55"/>
      <c r="BG86" s="55"/>
      <c r="BH86" s="55"/>
      <c r="BI86" s="55"/>
      <c r="BJ86" s="55"/>
      <c r="BK86" s="55"/>
      <c r="BL86" s="55"/>
      <c r="BM86" s="55"/>
      <c r="BN86" s="55"/>
      <c r="BO86" s="55"/>
      <c r="BP86" s="55"/>
      <c r="BQ86" s="55"/>
      <c r="BR86" s="55"/>
      <c r="BS86" s="55"/>
      <c r="BT86" s="55"/>
      <c r="BU86" s="55"/>
      <c r="BV86" s="55"/>
      <c r="BW86" s="55"/>
      <c r="BX86" s="55"/>
      <c r="BY86" s="55"/>
      <c r="BZ86" s="55"/>
      <c r="CA86" s="55"/>
      <c r="CB86" s="55"/>
      <c r="CC86" s="55"/>
      <c r="CD86" s="55"/>
      <c r="CE86" s="55"/>
      <c r="CF86" s="55"/>
      <c r="CG86" s="55"/>
      <c r="CH86" s="55"/>
      <c r="CI86" s="55"/>
      <c r="CJ86" s="55"/>
      <c r="CK86" s="55"/>
      <c r="CL86" s="55"/>
      <c r="CM86" s="55"/>
      <c r="CN86" s="55"/>
      <c r="CO86" s="55"/>
      <c r="CP86" s="55"/>
      <c r="CQ86" s="55"/>
      <c r="CR86" s="55"/>
      <c r="CS86" s="55"/>
      <c r="CT86" s="55"/>
      <c r="CU86" s="55"/>
      <c r="CV86" s="55"/>
      <c r="CW86" s="55"/>
      <c r="CX86" s="55"/>
      <c r="CY86" s="55"/>
      <c r="CZ86" s="55"/>
      <c r="DA86" s="55"/>
      <c r="DB86" s="55"/>
      <c r="DC86" s="55"/>
      <c r="DD86" s="55"/>
      <c r="DE86" s="55"/>
      <c r="DF86" s="55"/>
      <c r="DG86" s="55"/>
      <c r="DH86" s="55"/>
      <c r="DI86" s="55"/>
      <c r="DJ86" s="55"/>
      <c r="DK86" s="55"/>
      <c r="DL86" s="55"/>
      <c r="DM86" s="55"/>
      <c r="DN86" s="55"/>
      <c r="DO86" s="55"/>
      <c r="DP86" s="55"/>
      <c r="DQ86" s="55"/>
      <c r="DR86" s="55"/>
      <c r="DS86" s="55"/>
      <c r="DT86" s="55"/>
      <c r="DU86" s="55"/>
      <c r="DV86" s="55"/>
      <c r="DW86" s="55"/>
      <c r="DX86" s="55"/>
      <c r="DY86" s="55"/>
      <c r="DZ86" s="55"/>
      <c r="EA86" s="55"/>
      <c r="EB86" s="55"/>
      <c r="EC86" s="55"/>
      <c r="ED86" s="55"/>
      <c r="EE86" s="55"/>
      <c r="EF86" s="55"/>
      <c r="EG86" s="55"/>
      <c r="EH86" s="55"/>
      <c r="EI86" s="55"/>
      <c r="EJ86" s="55"/>
      <c r="EK86" s="55"/>
      <c r="EL86" s="55"/>
      <c r="EM86" s="55"/>
      <c r="EN86" s="55"/>
      <c r="EO86" s="55"/>
      <c r="EP86" s="55"/>
      <c r="EQ86" s="55"/>
      <c r="ER86" s="55"/>
      <c r="ES86" s="55"/>
      <c r="ET86" s="55"/>
      <c r="EU86" s="55"/>
      <c r="EV86" s="55"/>
      <c r="EW86" s="55"/>
      <c r="EX86" s="55"/>
      <c r="EY86" s="55"/>
      <c r="EZ86" s="55"/>
      <c r="FA86" s="55"/>
      <c r="FB86" s="55"/>
      <c r="FC86" s="55"/>
      <c r="FD86" s="55"/>
      <c r="FE86" s="55"/>
      <c r="FF86" s="55"/>
      <c r="FG86" s="55"/>
      <c r="FH86" s="55"/>
      <c r="FI86" s="55"/>
      <c r="FJ86" s="55"/>
      <c r="FK86" s="55"/>
      <c r="FL86" s="55"/>
      <c r="FM86" s="55"/>
      <c r="FN86" s="55"/>
      <c r="FO86" s="55"/>
      <c r="FP86" s="55"/>
      <c r="FQ86" s="55"/>
      <c r="FR86" s="55"/>
      <c r="FS86" s="55"/>
      <c r="FT86" s="55"/>
      <c r="FU86" s="55"/>
      <c r="FV86" s="55"/>
      <c r="FW86" s="55"/>
      <c r="FX86" s="55"/>
      <c r="FY86" s="55"/>
      <c r="FZ86" s="55"/>
      <c r="GA86" s="55"/>
      <c r="GB86" s="55"/>
      <c r="GC86" s="55"/>
      <c r="GD86" s="55"/>
      <c r="GE86" s="55"/>
      <c r="GF86" s="55"/>
      <c r="GG86" s="55"/>
      <c r="GH86" s="55"/>
      <c r="GI86" s="55"/>
      <c r="GJ86" s="55"/>
      <c r="GK86" s="55"/>
      <c r="GL86" s="55"/>
      <c r="GM86" s="55"/>
      <c r="GN86" s="55"/>
      <c r="GO86" s="55"/>
      <c r="GP86" s="55"/>
      <c r="GQ86" s="55"/>
      <c r="GR86" s="55"/>
      <c r="GS86" s="55"/>
      <c r="GT86" s="55"/>
      <c r="GU86" s="55"/>
      <c r="GV86" s="55"/>
      <c r="GW86" s="55"/>
      <c r="GX86" s="55"/>
      <c r="GY86" s="55"/>
      <c r="GZ86" s="55"/>
      <c r="HA86" s="55"/>
      <c r="HB86" s="55"/>
      <c r="HC86" s="55"/>
      <c r="HD86" s="55"/>
      <c r="HE86" s="55"/>
      <c r="HF86" s="55"/>
      <c r="HG86" s="55"/>
      <c r="HH86" s="55"/>
      <c r="HI86" s="55"/>
      <c r="HJ86" s="55"/>
      <c r="HK86" s="55"/>
      <c r="HL86" s="55"/>
      <c r="HM86" s="55"/>
      <c r="HN86" s="55"/>
    </row>
    <row r="87" spans="1:222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5"/>
      <c r="BD87" s="55"/>
      <c r="BE87" s="55"/>
      <c r="BF87" s="55"/>
      <c r="BG87" s="55"/>
      <c r="BH87" s="55"/>
      <c r="BI87" s="55"/>
      <c r="BJ87" s="55"/>
      <c r="BK87" s="55"/>
      <c r="BL87" s="55"/>
      <c r="BM87" s="55"/>
      <c r="BN87" s="55"/>
      <c r="BO87" s="55"/>
      <c r="BP87" s="55"/>
      <c r="BQ87" s="55"/>
      <c r="BR87" s="55"/>
      <c r="BS87" s="55"/>
      <c r="BT87" s="55"/>
      <c r="BU87" s="55"/>
      <c r="BV87" s="55"/>
      <c r="BW87" s="55"/>
      <c r="BX87" s="55"/>
      <c r="BY87" s="55"/>
      <c r="BZ87" s="55"/>
      <c r="CA87" s="55"/>
      <c r="CB87" s="55"/>
      <c r="CC87" s="55"/>
      <c r="CD87" s="55"/>
      <c r="CE87" s="55"/>
      <c r="CF87" s="55"/>
      <c r="CG87" s="55"/>
      <c r="CH87" s="55"/>
      <c r="CI87" s="55"/>
      <c r="CJ87" s="55"/>
      <c r="CK87" s="55"/>
      <c r="CL87" s="55"/>
      <c r="CM87" s="55"/>
      <c r="CN87" s="55"/>
      <c r="CO87" s="55"/>
      <c r="CP87" s="55"/>
      <c r="CQ87" s="55"/>
      <c r="CR87" s="55"/>
      <c r="CS87" s="55"/>
      <c r="CT87" s="55"/>
      <c r="CU87" s="55"/>
      <c r="CV87" s="55"/>
      <c r="CW87" s="55"/>
      <c r="CX87" s="55"/>
      <c r="CY87" s="55"/>
      <c r="CZ87" s="55"/>
      <c r="DA87" s="55"/>
      <c r="DB87" s="55"/>
      <c r="DC87" s="55"/>
      <c r="DD87" s="55"/>
      <c r="DE87" s="55"/>
      <c r="DF87" s="55"/>
      <c r="DG87" s="55"/>
      <c r="DH87" s="55"/>
      <c r="DI87" s="55"/>
      <c r="DJ87" s="55"/>
      <c r="DK87" s="55"/>
      <c r="DL87" s="55"/>
      <c r="DM87" s="55"/>
      <c r="DN87" s="55"/>
      <c r="DO87" s="55"/>
      <c r="DP87" s="55"/>
      <c r="DQ87" s="55"/>
      <c r="DR87" s="55"/>
      <c r="DS87" s="55"/>
      <c r="DT87" s="55"/>
      <c r="DU87" s="55"/>
      <c r="DV87" s="55"/>
      <c r="DW87" s="55"/>
      <c r="DX87" s="55"/>
      <c r="DY87" s="55"/>
      <c r="DZ87" s="55"/>
      <c r="EA87" s="55"/>
      <c r="EB87" s="55"/>
      <c r="EC87" s="55"/>
      <c r="ED87" s="55"/>
      <c r="EE87" s="55"/>
      <c r="EF87" s="55"/>
      <c r="EG87" s="55"/>
      <c r="EH87" s="55"/>
      <c r="EI87" s="55"/>
      <c r="EJ87" s="55"/>
      <c r="EK87" s="55"/>
      <c r="EL87" s="55"/>
      <c r="EM87" s="55"/>
      <c r="EN87" s="55"/>
      <c r="EO87" s="55"/>
      <c r="EP87" s="55"/>
      <c r="EQ87" s="55"/>
      <c r="ER87" s="55"/>
      <c r="ES87" s="55"/>
      <c r="ET87" s="55"/>
      <c r="EU87" s="55"/>
      <c r="EV87" s="55"/>
      <c r="EW87" s="55"/>
      <c r="EX87" s="55"/>
      <c r="EY87" s="55"/>
      <c r="EZ87" s="55"/>
      <c r="FA87" s="55"/>
      <c r="FB87" s="55"/>
      <c r="FC87" s="55"/>
      <c r="FD87" s="55"/>
      <c r="FE87" s="55"/>
      <c r="FF87" s="55"/>
      <c r="FG87" s="55"/>
      <c r="FH87" s="55"/>
      <c r="FI87" s="55"/>
      <c r="FJ87" s="55"/>
      <c r="FK87" s="55"/>
      <c r="FL87" s="55"/>
      <c r="FM87" s="55"/>
      <c r="FN87" s="55"/>
      <c r="FO87" s="55"/>
      <c r="FP87" s="55"/>
      <c r="FQ87" s="55"/>
      <c r="FR87" s="55"/>
      <c r="FS87" s="55"/>
      <c r="FT87" s="55"/>
      <c r="FU87" s="55"/>
      <c r="FV87" s="55"/>
      <c r="FW87" s="55"/>
      <c r="FX87" s="55"/>
      <c r="FY87" s="55"/>
      <c r="FZ87" s="55"/>
      <c r="GA87" s="55"/>
      <c r="GB87" s="55"/>
      <c r="GC87" s="55"/>
      <c r="GD87" s="55"/>
      <c r="GE87" s="55"/>
      <c r="GF87" s="55"/>
      <c r="GG87" s="55"/>
      <c r="GH87" s="55"/>
      <c r="GI87" s="55"/>
      <c r="GJ87" s="55"/>
      <c r="GK87" s="55"/>
      <c r="GL87" s="55"/>
      <c r="GM87" s="55"/>
      <c r="GN87" s="55"/>
      <c r="GO87" s="55"/>
      <c r="GP87" s="55"/>
      <c r="GQ87" s="55"/>
      <c r="GR87" s="55"/>
      <c r="GS87" s="55"/>
      <c r="GT87" s="55"/>
      <c r="GU87" s="55"/>
      <c r="GV87" s="55"/>
      <c r="GW87" s="55"/>
      <c r="GX87" s="55"/>
      <c r="GY87" s="55"/>
      <c r="GZ87" s="55"/>
      <c r="HA87" s="55"/>
      <c r="HB87" s="55"/>
      <c r="HC87" s="55"/>
      <c r="HD87" s="55"/>
      <c r="HE87" s="55"/>
      <c r="HF87" s="55"/>
      <c r="HG87" s="55"/>
      <c r="HH87" s="55"/>
      <c r="HI87" s="55"/>
      <c r="HJ87" s="55"/>
      <c r="HK87" s="55"/>
      <c r="HL87" s="55"/>
      <c r="HM87" s="55"/>
      <c r="HN87" s="55"/>
    </row>
    <row r="88" spans="1:222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  <c r="BB88" s="55"/>
      <c r="BC88" s="55"/>
      <c r="BD88" s="55"/>
      <c r="BE88" s="55"/>
      <c r="BF88" s="55"/>
      <c r="BG88" s="55"/>
      <c r="BH88" s="55"/>
      <c r="BI88" s="55"/>
      <c r="BJ88" s="55"/>
      <c r="BK88" s="55"/>
      <c r="BL88" s="55"/>
      <c r="BM88" s="55"/>
      <c r="BN88" s="55"/>
      <c r="BO88" s="55"/>
      <c r="BP88" s="55"/>
      <c r="BQ88" s="55"/>
      <c r="BR88" s="55"/>
      <c r="BS88" s="55"/>
      <c r="BT88" s="55"/>
      <c r="BU88" s="55"/>
      <c r="BV88" s="55"/>
      <c r="BW88" s="55"/>
      <c r="BX88" s="55"/>
      <c r="BY88" s="55"/>
      <c r="BZ88" s="55"/>
      <c r="CA88" s="55"/>
      <c r="CB88" s="55"/>
      <c r="CC88" s="55"/>
      <c r="CD88" s="55"/>
      <c r="CE88" s="55"/>
      <c r="CF88" s="55"/>
      <c r="CG88" s="55"/>
      <c r="CH88" s="55"/>
      <c r="CI88" s="55"/>
      <c r="CJ88" s="55"/>
      <c r="CK88" s="55"/>
      <c r="CL88" s="55"/>
      <c r="CM88" s="55"/>
      <c r="CN88" s="55"/>
      <c r="CO88" s="55"/>
      <c r="CP88" s="55"/>
      <c r="CQ88" s="55"/>
      <c r="CR88" s="55"/>
      <c r="CS88" s="55"/>
      <c r="CT88" s="55"/>
      <c r="CU88" s="55"/>
      <c r="CV88" s="55"/>
      <c r="CW88" s="55"/>
      <c r="CX88" s="55"/>
      <c r="CY88" s="55"/>
      <c r="CZ88" s="55"/>
      <c r="DA88" s="55"/>
      <c r="DB88" s="55"/>
      <c r="DC88" s="55"/>
      <c r="DD88" s="55"/>
      <c r="DE88" s="55"/>
      <c r="DF88" s="55"/>
      <c r="DG88" s="55"/>
      <c r="DH88" s="55"/>
      <c r="DI88" s="55"/>
      <c r="DJ88" s="55"/>
      <c r="DK88" s="55"/>
      <c r="DL88" s="55"/>
      <c r="DM88" s="55"/>
      <c r="DN88" s="55"/>
      <c r="DO88" s="55"/>
      <c r="DP88" s="55"/>
      <c r="DQ88" s="55"/>
      <c r="DR88" s="55"/>
      <c r="DS88" s="55"/>
      <c r="DT88" s="55"/>
      <c r="DU88" s="55"/>
      <c r="DV88" s="55"/>
      <c r="DW88" s="55"/>
      <c r="DX88" s="55"/>
      <c r="DY88" s="55"/>
      <c r="DZ88" s="55"/>
      <c r="EA88" s="55"/>
      <c r="EB88" s="55"/>
      <c r="EC88" s="55"/>
      <c r="ED88" s="55"/>
      <c r="EE88" s="55"/>
      <c r="EF88" s="55"/>
      <c r="EG88" s="55"/>
      <c r="EH88" s="55"/>
      <c r="EI88" s="55"/>
      <c r="EJ88" s="55"/>
      <c r="EK88" s="55"/>
      <c r="EL88" s="55"/>
      <c r="EM88" s="55"/>
      <c r="EN88" s="55"/>
      <c r="EO88" s="55"/>
      <c r="EP88" s="55"/>
      <c r="EQ88" s="55"/>
      <c r="ER88" s="55"/>
      <c r="ES88" s="55"/>
      <c r="ET88" s="55"/>
      <c r="EU88" s="55"/>
      <c r="EV88" s="55"/>
      <c r="EW88" s="55"/>
      <c r="EX88" s="55"/>
      <c r="EY88" s="55"/>
      <c r="EZ88" s="55"/>
      <c r="FA88" s="55"/>
      <c r="FB88" s="55"/>
      <c r="FC88" s="55"/>
      <c r="FD88" s="55"/>
      <c r="FE88" s="55"/>
      <c r="FF88" s="55"/>
      <c r="FG88" s="55"/>
      <c r="FH88" s="55"/>
      <c r="FI88" s="55"/>
      <c r="FJ88" s="55"/>
      <c r="FK88" s="55"/>
      <c r="FL88" s="55"/>
      <c r="FM88" s="55"/>
      <c r="FN88" s="55"/>
      <c r="FO88" s="55"/>
      <c r="FP88" s="55"/>
      <c r="FQ88" s="55"/>
      <c r="FR88" s="55"/>
      <c r="FS88" s="55"/>
      <c r="FT88" s="55"/>
      <c r="FU88" s="55"/>
      <c r="FV88" s="55"/>
      <c r="FW88" s="55"/>
      <c r="FX88" s="55"/>
      <c r="FY88" s="55"/>
      <c r="FZ88" s="55"/>
      <c r="GA88" s="55"/>
      <c r="GB88" s="55"/>
      <c r="GC88" s="55"/>
      <c r="GD88" s="55"/>
      <c r="GE88" s="55"/>
      <c r="GF88" s="55"/>
      <c r="GG88" s="55"/>
      <c r="GH88" s="55"/>
      <c r="GI88" s="55"/>
      <c r="GJ88" s="55"/>
      <c r="GK88" s="55"/>
      <c r="GL88" s="55"/>
      <c r="GM88" s="55"/>
      <c r="GN88" s="55"/>
      <c r="GO88" s="55"/>
      <c r="GP88" s="55"/>
      <c r="GQ88" s="55"/>
      <c r="GR88" s="55"/>
      <c r="GS88" s="55"/>
      <c r="GT88" s="55"/>
      <c r="GU88" s="55"/>
      <c r="GV88" s="55"/>
      <c r="GW88" s="55"/>
      <c r="GX88" s="55"/>
      <c r="GY88" s="55"/>
      <c r="GZ88" s="55"/>
      <c r="HA88" s="55"/>
      <c r="HB88" s="55"/>
      <c r="HC88" s="55"/>
      <c r="HD88" s="55"/>
      <c r="HE88" s="55"/>
      <c r="HF88" s="55"/>
      <c r="HG88" s="55"/>
      <c r="HH88" s="55"/>
      <c r="HI88" s="55"/>
      <c r="HJ88" s="55"/>
      <c r="HK88" s="55"/>
      <c r="HL88" s="55"/>
      <c r="HM88" s="55"/>
      <c r="HN88" s="55"/>
    </row>
    <row r="89" spans="1:222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5"/>
      <c r="AY89" s="55"/>
      <c r="AZ89" s="55"/>
      <c r="BA89" s="55"/>
      <c r="BB89" s="55"/>
      <c r="BC89" s="55"/>
      <c r="BD89" s="55"/>
      <c r="BE89" s="55"/>
      <c r="BF89" s="55"/>
      <c r="BG89" s="55"/>
      <c r="BH89" s="55"/>
      <c r="BI89" s="55"/>
      <c r="BJ89" s="55"/>
      <c r="BK89" s="55"/>
      <c r="BL89" s="55"/>
      <c r="BM89" s="55"/>
      <c r="BN89" s="55"/>
      <c r="BO89" s="55"/>
      <c r="BP89" s="55"/>
      <c r="BQ89" s="55"/>
      <c r="BR89" s="55"/>
      <c r="BS89" s="55"/>
      <c r="BT89" s="55"/>
      <c r="BU89" s="55"/>
      <c r="BV89" s="55"/>
      <c r="BW89" s="55"/>
      <c r="BX89" s="55"/>
      <c r="BY89" s="55"/>
      <c r="BZ89" s="55"/>
      <c r="CA89" s="55"/>
      <c r="CB89" s="55"/>
      <c r="CC89" s="55"/>
      <c r="CD89" s="55"/>
      <c r="CE89" s="55"/>
      <c r="CF89" s="55"/>
      <c r="CG89" s="55"/>
      <c r="CH89" s="55"/>
      <c r="CI89" s="55"/>
      <c r="CJ89" s="55"/>
      <c r="CK89" s="55"/>
      <c r="CL89" s="55"/>
      <c r="CM89" s="55"/>
      <c r="CN89" s="55"/>
      <c r="CO89" s="55"/>
      <c r="CP89" s="55"/>
      <c r="CQ89" s="55"/>
      <c r="CR89" s="55"/>
      <c r="CS89" s="55"/>
      <c r="CT89" s="55"/>
      <c r="CU89" s="55"/>
      <c r="CV89" s="55"/>
      <c r="CW89" s="55"/>
      <c r="CX89" s="55"/>
      <c r="CY89" s="55"/>
      <c r="CZ89" s="55"/>
      <c r="DA89" s="55"/>
      <c r="DB89" s="55"/>
      <c r="DC89" s="55"/>
      <c r="DD89" s="55"/>
      <c r="DE89" s="55"/>
      <c r="DF89" s="55"/>
      <c r="DG89" s="55"/>
      <c r="DH89" s="55"/>
      <c r="DI89" s="55"/>
      <c r="DJ89" s="55"/>
      <c r="DK89" s="55"/>
      <c r="DL89" s="55"/>
      <c r="DM89" s="55"/>
      <c r="DN89" s="55"/>
      <c r="DO89" s="55"/>
      <c r="DP89" s="55"/>
      <c r="DQ89" s="55"/>
      <c r="DR89" s="55"/>
      <c r="DS89" s="55"/>
      <c r="DT89" s="55"/>
      <c r="DU89" s="55"/>
      <c r="DV89" s="55"/>
      <c r="DW89" s="55"/>
      <c r="DX89" s="55"/>
      <c r="DY89" s="55"/>
      <c r="DZ89" s="55"/>
      <c r="EA89" s="55"/>
      <c r="EB89" s="55"/>
      <c r="EC89" s="55"/>
      <c r="ED89" s="55"/>
      <c r="EE89" s="55"/>
      <c r="EF89" s="55"/>
      <c r="EG89" s="55"/>
      <c r="EH89" s="55"/>
      <c r="EI89" s="55"/>
      <c r="EJ89" s="55"/>
      <c r="EK89" s="55"/>
      <c r="EL89" s="55"/>
      <c r="EM89" s="55"/>
      <c r="EN89" s="55"/>
      <c r="EO89" s="55"/>
      <c r="EP89" s="55"/>
      <c r="EQ89" s="55"/>
      <c r="ER89" s="55"/>
      <c r="ES89" s="55"/>
      <c r="ET89" s="55"/>
      <c r="EU89" s="55"/>
      <c r="EV89" s="55"/>
      <c r="EW89" s="55"/>
      <c r="EX89" s="55"/>
      <c r="EY89" s="55"/>
      <c r="EZ89" s="55"/>
      <c r="FA89" s="55"/>
      <c r="FB89" s="55"/>
      <c r="FC89" s="55"/>
      <c r="FD89" s="55"/>
      <c r="FE89" s="55"/>
      <c r="FF89" s="55"/>
      <c r="FG89" s="55"/>
      <c r="FH89" s="55"/>
      <c r="FI89" s="55"/>
      <c r="FJ89" s="55"/>
      <c r="FK89" s="55"/>
      <c r="FL89" s="55"/>
      <c r="FM89" s="55"/>
      <c r="FN89" s="55"/>
      <c r="FO89" s="55"/>
      <c r="FP89" s="55"/>
      <c r="FQ89" s="55"/>
      <c r="FR89" s="55"/>
      <c r="FS89" s="55"/>
      <c r="FT89" s="55"/>
      <c r="FU89" s="55"/>
      <c r="FV89" s="55"/>
      <c r="FW89" s="55"/>
      <c r="FX89" s="55"/>
      <c r="FY89" s="55"/>
      <c r="FZ89" s="55"/>
      <c r="GA89" s="55"/>
      <c r="GB89" s="55"/>
      <c r="GC89" s="55"/>
      <c r="GD89" s="55"/>
      <c r="GE89" s="55"/>
      <c r="GF89" s="55"/>
      <c r="GG89" s="55"/>
      <c r="GH89" s="55"/>
      <c r="GI89" s="55"/>
      <c r="GJ89" s="55"/>
      <c r="GK89" s="55"/>
      <c r="GL89" s="55"/>
      <c r="GM89" s="55"/>
      <c r="GN89" s="55"/>
      <c r="GO89" s="55"/>
      <c r="GP89" s="55"/>
      <c r="GQ89" s="55"/>
      <c r="GR89" s="55"/>
      <c r="GS89" s="55"/>
      <c r="GT89" s="55"/>
      <c r="GU89" s="55"/>
      <c r="GV89" s="55"/>
      <c r="GW89" s="55"/>
      <c r="GX89" s="55"/>
      <c r="GY89" s="55"/>
      <c r="GZ89" s="55"/>
      <c r="HA89" s="55"/>
      <c r="HB89" s="55"/>
      <c r="HC89" s="55"/>
      <c r="HD89" s="55"/>
      <c r="HE89" s="55"/>
      <c r="HF89" s="55"/>
      <c r="HG89" s="55"/>
      <c r="HH89" s="55"/>
      <c r="HI89" s="55"/>
      <c r="HJ89" s="55"/>
      <c r="HK89" s="55"/>
      <c r="HL89" s="55"/>
      <c r="HM89" s="55"/>
      <c r="HN89" s="55"/>
    </row>
    <row r="90" spans="1:222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  <c r="BD90" s="55"/>
      <c r="BE90" s="55"/>
      <c r="BF90" s="55"/>
      <c r="BG90" s="55"/>
      <c r="BH90" s="55"/>
      <c r="BI90" s="55"/>
      <c r="BJ90" s="55"/>
      <c r="BK90" s="55"/>
      <c r="BL90" s="55"/>
      <c r="BM90" s="55"/>
      <c r="BN90" s="55"/>
      <c r="BO90" s="55"/>
      <c r="BP90" s="55"/>
      <c r="BQ90" s="55"/>
      <c r="BR90" s="55"/>
      <c r="BS90" s="55"/>
      <c r="BT90" s="55"/>
      <c r="BU90" s="55"/>
      <c r="BV90" s="55"/>
      <c r="BW90" s="55"/>
      <c r="BX90" s="55"/>
      <c r="BY90" s="55"/>
      <c r="BZ90" s="55"/>
      <c r="CA90" s="55"/>
      <c r="CB90" s="55"/>
      <c r="CC90" s="55"/>
      <c r="CD90" s="55"/>
      <c r="CE90" s="55"/>
      <c r="CF90" s="55"/>
      <c r="CG90" s="55"/>
      <c r="CH90" s="55"/>
      <c r="CI90" s="55"/>
      <c r="CJ90" s="55"/>
      <c r="CK90" s="55"/>
      <c r="CL90" s="55"/>
      <c r="CM90" s="55"/>
      <c r="CN90" s="55"/>
      <c r="CO90" s="55"/>
      <c r="CP90" s="55"/>
      <c r="CQ90" s="55"/>
      <c r="CR90" s="55"/>
      <c r="CS90" s="55"/>
      <c r="CT90" s="55"/>
      <c r="CU90" s="55"/>
      <c r="CV90" s="55"/>
      <c r="CW90" s="55"/>
      <c r="CX90" s="55"/>
      <c r="CY90" s="55"/>
      <c r="CZ90" s="55"/>
      <c r="DA90" s="55"/>
      <c r="DB90" s="55"/>
      <c r="DC90" s="55"/>
      <c r="DD90" s="55"/>
      <c r="DE90" s="55"/>
      <c r="DF90" s="55"/>
      <c r="DG90" s="55"/>
      <c r="DH90" s="55"/>
      <c r="DI90" s="55"/>
      <c r="DJ90" s="55"/>
      <c r="DK90" s="55"/>
      <c r="DL90" s="55"/>
      <c r="DM90" s="55"/>
      <c r="DN90" s="55"/>
      <c r="DO90" s="55"/>
      <c r="DP90" s="55"/>
      <c r="DQ90" s="55"/>
      <c r="DR90" s="55"/>
      <c r="DS90" s="55"/>
      <c r="DT90" s="55"/>
      <c r="DU90" s="55"/>
      <c r="DV90" s="55"/>
      <c r="DW90" s="55"/>
      <c r="DX90" s="55"/>
      <c r="DY90" s="55"/>
      <c r="DZ90" s="55"/>
      <c r="EA90" s="55"/>
      <c r="EB90" s="55"/>
      <c r="EC90" s="55"/>
      <c r="ED90" s="55"/>
      <c r="EE90" s="55"/>
      <c r="EF90" s="55"/>
      <c r="EG90" s="55"/>
      <c r="EH90" s="55"/>
      <c r="EI90" s="55"/>
      <c r="EJ90" s="55"/>
      <c r="EK90" s="55"/>
      <c r="EL90" s="55"/>
      <c r="EM90" s="55"/>
      <c r="EN90" s="55"/>
      <c r="EO90" s="55"/>
      <c r="EP90" s="55"/>
      <c r="EQ90" s="55"/>
      <c r="ER90" s="55"/>
      <c r="ES90" s="55"/>
      <c r="ET90" s="55"/>
      <c r="EU90" s="55"/>
      <c r="EV90" s="55"/>
      <c r="EW90" s="55"/>
      <c r="EX90" s="55"/>
      <c r="EY90" s="55"/>
      <c r="EZ90" s="55"/>
      <c r="FA90" s="55"/>
      <c r="FB90" s="55"/>
      <c r="FC90" s="55"/>
      <c r="FD90" s="55"/>
      <c r="FE90" s="55"/>
      <c r="FF90" s="55"/>
      <c r="FG90" s="55"/>
      <c r="FH90" s="55"/>
      <c r="FI90" s="55"/>
      <c r="FJ90" s="55"/>
      <c r="FK90" s="55"/>
      <c r="FL90" s="55"/>
      <c r="FM90" s="55"/>
      <c r="FN90" s="55"/>
      <c r="FO90" s="55"/>
      <c r="FP90" s="55"/>
      <c r="FQ90" s="55"/>
      <c r="FR90" s="55"/>
      <c r="FS90" s="55"/>
      <c r="FT90" s="55"/>
      <c r="FU90" s="55"/>
      <c r="FV90" s="55"/>
      <c r="FW90" s="55"/>
      <c r="FX90" s="55"/>
      <c r="FY90" s="55"/>
      <c r="FZ90" s="55"/>
      <c r="GA90" s="55"/>
      <c r="GB90" s="55"/>
      <c r="GC90" s="55"/>
      <c r="GD90" s="55"/>
      <c r="GE90" s="55"/>
      <c r="GF90" s="55"/>
      <c r="GG90" s="55"/>
      <c r="GH90" s="55"/>
      <c r="GI90" s="55"/>
      <c r="GJ90" s="55"/>
      <c r="GK90" s="55"/>
      <c r="GL90" s="55"/>
      <c r="GM90" s="55"/>
      <c r="GN90" s="55"/>
      <c r="GO90" s="55"/>
      <c r="GP90" s="55"/>
      <c r="GQ90" s="55"/>
      <c r="GR90" s="55"/>
      <c r="GS90" s="55"/>
      <c r="GT90" s="55"/>
      <c r="GU90" s="55"/>
      <c r="GV90" s="55"/>
      <c r="GW90" s="55"/>
      <c r="GX90" s="55"/>
      <c r="GY90" s="55"/>
      <c r="GZ90" s="55"/>
      <c r="HA90" s="55"/>
      <c r="HB90" s="55"/>
      <c r="HC90" s="55"/>
      <c r="HD90" s="55"/>
      <c r="HE90" s="55"/>
      <c r="HF90" s="55"/>
      <c r="HG90" s="55"/>
      <c r="HH90" s="55"/>
      <c r="HI90" s="55"/>
      <c r="HJ90" s="55"/>
      <c r="HK90" s="55"/>
      <c r="HL90" s="55"/>
      <c r="HM90" s="55"/>
      <c r="HN90" s="55"/>
    </row>
    <row r="91" spans="1:222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/>
      <c r="BD91" s="55"/>
      <c r="BE91" s="55"/>
      <c r="BF91" s="55"/>
      <c r="BG91" s="55"/>
      <c r="BH91" s="55"/>
      <c r="BI91" s="55"/>
      <c r="BJ91" s="55"/>
      <c r="BK91" s="55"/>
      <c r="BL91" s="55"/>
      <c r="BM91" s="55"/>
      <c r="BN91" s="55"/>
      <c r="BO91" s="55"/>
      <c r="BP91" s="55"/>
      <c r="BQ91" s="55"/>
      <c r="BR91" s="55"/>
      <c r="BS91" s="55"/>
      <c r="BT91" s="55"/>
      <c r="BU91" s="55"/>
      <c r="BV91" s="55"/>
      <c r="BW91" s="55"/>
      <c r="BX91" s="55"/>
      <c r="BY91" s="55"/>
      <c r="BZ91" s="55"/>
      <c r="CA91" s="55"/>
      <c r="CB91" s="55"/>
      <c r="CC91" s="55"/>
      <c r="CD91" s="55"/>
      <c r="CE91" s="55"/>
      <c r="CF91" s="55"/>
      <c r="CG91" s="55"/>
      <c r="CH91" s="55"/>
      <c r="CI91" s="55"/>
      <c r="CJ91" s="55"/>
      <c r="CK91" s="55"/>
      <c r="CL91" s="55"/>
      <c r="CM91" s="55"/>
      <c r="CN91" s="55"/>
      <c r="CO91" s="55"/>
      <c r="CP91" s="55"/>
      <c r="CQ91" s="55"/>
      <c r="CR91" s="55"/>
      <c r="CS91" s="55"/>
      <c r="CT91" s="55"/>
      <c r="CU91" s="55"/>
      <c r="CV91" s="55"/>
      <c r="CW91" s="55"/>
      <c r="CX91" s="55"/>
      <c r="CY91" s="55"/>
      <c r="CZ91" s="55"/>
      <c r="DA91" s="55"/>
      <c r="DB91" s="55"/>
      <c r="DC91" s="55"/>
      <c r="DD91" s="55"/>
      <c r="DE91" s="55"/>
      <c r="DF91" s="55"/>
      <c r="DG91" s="55"/>
      <c r="DH91" s="55"/>
      <c r="DI91" s="55"/>
      <c r="DJ91" s="55"/>
      <c r="DK91" s="55"/>
      <c r="DL91" s="55"/>
      <c r="DM91" s="55"/>
      <c r="DN91" s="55"/>
      <c r="DO91" s="55"/>
      <c r="DP91" s="55"/>
      <c r="DQ91" s="55"/>
      <c r="DR91" s="55"/>
      <c r="DS91" s="55"/>
      <c r="DT91" s="55"/>
      <c r="DU91" s="55"/>
      <c r="DV91" s="55"/>
      <c r="DW91" s="55"/>
      <c r="DX91" s="55"/>
      <c r="DY91" s="55"/>
      <c r="DZ91" s="55"/>
      <c r="EA91" s="55"/>
      <c r="EB91" s="55"/>
      <c r="EC91" s="55"/>
      <c r="ED91" s="55"/>
      <c r="EE91" s="55"/>
      <c r="EF91" s="55"/>
      <c r="EG91" s="55"/>
      <c r="EH91" s="55"/>
      <c r="EI91" s="55"/>
      <c r="EJ91" s="55"/>
      <c r="EK91" s="55"/>
      <c r="EL91" s="55"/>
      <c r="EM91" s="55"/>
      <c r="EN91" s="55"/>
      <c r="EO91" s="55"/>
      <c r="EP91" s="55"/>
      <c r="EQ91" s="55"/>
      <c r="ER91" s="55"/>
      <c r="ES91" s="55"/>
      <c r="ET91" s="55"/>
      <c r="EU91" s="55"/>
      <c r="EV91" s="55"/>
      <c r="EW91" s="55"/>
      <c r="EX91" s="55"/>
      <c r="EY91" s="55"/>
      <c r="EZ91" s="55"/>
      <c r="FA91" s="55"/>
      <c r="FB91" s="55"/>
      <c r="FC91" s="55"/>
      <c r="FD91" s="55"/>
      <c r="FE91" s="55"/>
      <c r="FF91" s="55"/>
      <c r="FG91" s="55"/>
      <c r="FH91" s="55"/>
      <c r="FI91" s="55"/>
      <c r="FJ91" s="55"/>
      <c r="FK91" s="55"/>
      <c r="FL91" s="55"/>
      <c r="FM91" s="55"/>
      <c r="FN91" s="55"/>
      <c r="FO91" s="55"/>
      <c r="FP91" s="55"/>
      <c r="FQ91" s="55"/>
      <c r="FR91" s="55"/>
      <c r="FS91" s="55"/>
      <c r="FT91" s="55"/>
      <c r="FU91" s="55"/>
      <c r="FV91" s="55"/>
      <c r="FW91" s="55"/>
      <c r="FX91" s="55"/>
      <c r="FY91" s="55"/>
      <c r="FZ91" s="55"/>
      <c r="GA91" s="55"/>
      <c r="GB91" s="55"/>
      <c r="GC91" s="55"/>
      <c r="GD91" s="55"/>
      <c r="GE91" s="55"/>
      <c r="GF91" s="55"/>
      <c r="GG91" s="55"/>
      <c r="GH91" s="55"/>
      <c r="GI91" s="55"/>
      <c r="GJ91" s="55"/>
      <c r="GK91" s="55"/>
      <c r="GL91" s="55"/>
      <c r="GM91" s="55"/>
      <c r="GN91" s="55"/>
      <c r="GO91" s="55"/>
      <c r="GP91" s="55"/>
      <c r="GQ91" s="55"/>
      <c r="GR91" s="55"/>
      <c r="GS91" s="55"/>
      <c r="GT91" s="55"/>
      <c r="GU91" s="55"/>
      <c r="GV91" s="55"/>
      <c r="GW91" s="55"/>
      <c r="GX91" s="55"/>
      <c r="GY91" s="55"/>
      <c r="GZ91" s="55"/>
      <c r="HA91" s="55"/>
      <c r="HB91" s="55"/>
      <c r="HC91" s="55"/>
      <c r="HD91" s="55"/>
      <c r="HE91" s="55"/>
      <c r="HF91" s="55"/>
      <c r="HG91" s="55"/>
      <c r="HH91" s="55"/>
      <c r="HI91" s="55"/>
      <c r="HJ91" s="55"/>
      <c r="HK91" s="55"/>
      <c r="HL91" s="55"/>
      <c r="HM91" s="55"/>
      <c r="HN91" s="55"/>
    </row>
    <row r="92" spans="1:222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/>
      <c r="BC92" s="55"/>
      <c r="BD92" s="55"/>
      <c r="BE92" s="55"/>
      <c r="BF92" s="55"/>
      <c r="BG92" s="55"/>
      <c r="BH92" s="55"/>
      <c r="BI92" s="55"/>
      <c r="BJ92" s="55"/>
      <c r="BK92" s="55"/>
      <c r="BL92" s="55"/>
      <c r="BM92" s="55"/>
      <c r="BN92" s="55"/>
      <c r="BO92" s="55"/>
      <c r="BP92" s="55"/>
      <c r="BQ92" s="55"/>
      <c r="BR92" s="55"/>
      <c r="BS92" s="55"/>
      <c r="BT92" s="55"/>
      <c r="BU92" s="55"/>
      <c r="BV92" s="55"/>
      <c r="BW92" s="55"/>
      <c r="BX92" s="55"/>
      <c r="BY92" s="55"/>
      <c r="BZ92" s="55"/>
      <c r="CA92" s="55"/>
      <c r="CB92" s="55"/>
      <c r="CC92" s="55"/>
      <c r="CD92" s="55"/>
      <c r="CE92" s="55"/>
      <c r="CF92" s="55"/>
      <c r="CG92" s="55"/>
      <c r="CH92" s="55"/>
      <c r="CI92" s="55"/>
      <c r="CJ92" s="55"/>
      <c r="CK92" s="55"/>
      <c r="CL92" s="55"/>
      <c r="CM92" s="55"/>
      <c r="CN92" s="55"/>
      <c r="CO92" s="55"/>
      <c r="CP92" s="55"/>
      <c r="CQ92" s="55"/>
      <c r="CR92" s="55"/>
      <c r="CS92" s="55"/>
      <c r="CT92" s="55"/>
      <c r="CU92" s="55"/>
      <c r="CV92" s="55"/>
      <c r="CW92" s="55"/>
      <c r="CX92" s="55"/>
      <c r="CY92" s="55"/>
      <c r="CZ92" s="55"/>
      <c r="DA92" s="55"/>
      <c r="DB92" s="55"/>
      <c r="DC92" s="55"/>
      <c r="DD92" s="55"/>
      <c r="DE92" s="55"/>
      <c r="DF92" s="55"/>
      <c r="DG92" s="55"/>
      <c r="DH92" s="55"/>
      <c r="DI92" s="55"/>
      <c r="DJ92" s="55"/>
      <c r="DK92" s="55"/>
      <c r="DL92" s="55"/>
      <c r="DM92" s="55"/>
      <c r="DN92" s="55"/>
      <c r="DO92" s="55"/>
      <c r="DP92" s="55"/>
      <c r="DQ92" s="55"/>
      <c r="DR92" s="55"/>
      <c r="DS92" s="55"/>
      <c r="DT92" s="55"/>
      <c r="DU92" s="55"/>
      <c r="DV92" s="55"/>
      <c r="DW92" s="55"/>
      <c r="DX92" s="55"/>
      <c r="DY92" s="55"/>
      <c r="DZ92" s="55"/>
      <c r="EA92" s="55"/>
      <c r="EB92" s="55"/>
      <c r="EC92" s="55"/>
      <c r="ED92" s="55"/>
      <c r="EE92" s="55"/>
      <c r="EF92" s="55"/>
      <c r="EG92" s="55"/>
      <c r="EH92" s="55"/>
      <c r="EI92" s="55"/>
      <c r="EJ92" s="55"/>
      <c r="EK92" s="55"/>
      <c r="EL92" s="55"/>
      <c r="EM92" s="55"/>
      <c r="EN92" s="55"/>
      <c r="EO92" s="55"/>
      <c r="EP92" s="55"/>
      <c r="EQ92" s="55"/>
      <c r="ER92" s="55"/>
      <c r="ES92" s="55"/>
      <c r="ET92" s="55"/>
      <c r="EU92" s="55"/>
      <c r="EV92" s="55"/>
      <c r="EW92" s="55"/>
      <c r="EX92" s="55"/>
      <c r="EY92" s="55"/>
      <c r="EZ92" s="55"/>
      <c r="FA92" s="55"/>
      <c r="FB92" s="55"/>
      <c r="FC92" s="55"/>
      <c r="FD92" s="55"/>
      <c r="FE92" s="55"/>
      <c r="FF92" s="55"/>
      <c r="FG92" s="55"/>
      <c r="FH92" s="55"/>
      <c r="FI92" s="55"/>
      <c r="FJ92" s="55"/>
      <c r="FK92" s="55"/>
      <c r="FL92" s="55"/>
      <c r="FM92" s="55"/>
      <c r="FN92" s="55"/>
      <c r="FO92" s="55"/>
      <c r="FP92" s="55"/>
      <c r="FQ92" s="55"/>
      <c r="FR92" s="55"/>
      <c r="FS92" s="55"/>
      <c r="FT92" s="55"/>
      <c r="FU92" s="55"/>
      <c r="FV92" s="55"/>
      <c r="FW92" s="55"/>
      <c r="FX92" s="55"/>
      <c r="FY92" s="55"/>
      <c r="FZ92" s="55"/>
      <c r="GA92" s="55"/>
      <c r="GB92" s="55"/>
      <c r="GC92" s="55"/>
      <c r="GD92" s="55"/>
      <c r="GE92" s="55"/>
      <c r="GF92" s="55"/>
      <c r="GG92" s="55"/>
      <c r="GH92" s="55"/>
      <c r="GI92" s="55"/>
      <c r="GJ92" s="55"/>
      <c r="GK92" s="55"/>
      <c r="GL92" s="55"/>
      <c r="GM92" s="55"/>
      <c r="GN92" s="55"/>
      <c r="GO92" s="55"/>
      <c r="GP92" s="55"/>
      <c r="GQ92" s="55"/>
      <c r="GR92" s="55"/>
      <c r="GS92" s="55"/>
      <c r="GT92" s="55"/>
      <c r="GU92" s="55"/>
      <c r="GV92" s="55"/>
      <c r="GW92" s="55"/>
      <c r="GX92" s="55"/>
      <c r="GY92" s="55"/>
      <c r="GZ92" s="55"/>
      <c r="HA92" s="55"/>
      <c r="HB92" s="55"/>
      <c r="HC92" s="55"/>
      <c r="HD92" s="55"/>
      <c r="HE92" s="55"/>
      <c r="HF92" s="55"/>
      <c r="HG92" s="55"/>
      <c r="HH92" s="55"/>
      <c r="HI92" s="55"/>
      <c r="HJ92" s="55"/>
      <c r="HK92" s="55"/>
      <c r="HL92" s="55"/>
      <c r="HM92" s="55"/>
      <c r="HN92" s="55"/>
    </row>
    <row r="93" spans="1:222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5"/>
      <c r="BD93" s="55"/>
      <c r="BE93" s="55"/>
      <c r="BF93" s="55"/>
      <c r="BG93" s="55"/>
      <c r="BH93" s="55"/>
      <c r="BI93" s="55"/>
      <c r="BJ93" s="55"/>
      <c r="BK93" s="55"/>
      <c r="BL93" s="55"/>
      <c r="BM93" s="55"/>
      <c r="BN93" s="55"/>
      <c r="BO93" s="55"/>
      <c r="BP93" s="55"/>
      <c r="BQ93" s="55"/>
      <c r="BR93" s="55"/>
      <c r="BS93" s="55"/>
      <c r="BT93" s="55"/>
      <c r="BU93" s="55"/>
      <c r="BV93" s="55"/>
      <c r="BW93" s="55"/>
      <c r="BX93" s="55"/>
      <c r="BY93" s="55"/>
      <c r="BZ93" s="55"/>
      <c r="CA93" s="55"/>
      <c r="CB93" s="55"/>
      <c r="CC93" s="55"/>
      <c r="CD93" s="55"/>
      <c r="CE93" s="55"/>
      <c r="CF93" s="55"/>
      <c r="CG93" s="55"/>
      <c r="CH93" s="55"/>
      <c r="CI93" s="55"/>
      <c r="CJ93" s="55"/>
      <c r="CK93" s="55"/>
      <c r="CL93" s="55"/>
      <c r="CM93" s="55"/>
      <c r="CN93" s="55"/>
      <c r="CO93" s="55"/>
      <c r="CP93" s="55"/>
      <c r="CQ93" s="55"/>
      <c r="CR93" s="55"/>
      <c r="CS93" s="55"/>
      <c r="CT93" s="55"/>
      <c r="CU93" s="55"/>
      <c r="CV93" s="55"/>
      <c r="CW93" s="55"/>
      <c r="CX93" s="55"/>
      <c r="CY93" s="55"/>
      <c r="CZ93" s="55"/>
      <c r="DA93" s="55"/>
      <c r="DB93" s="55"/>
      <c r="DC93" s="55"/>
      <c r="DD93" s="55"/>
      <c r="DE93" s="55"/>
      <c r="DF93" s="55"/>
      <c r="DG93" s="55"/>
      <c r="DH93" s="55"/>
      <c r="DI93" s="55"/>
      <c r="DJ93" s="55"/>
      <c r="DK93" s="55"/>
      <c r="DL93" s="55"/>
      <c r="DM93" s="55"/>
      <c r="DN93" s="55"/>
      <c r="DO93" s="55"/>
      <c r="DP93" s="55"/>
      <c r="DQ93" s="55"/>
      <c r="DR93" s="55"/>
      <c r="DS93" s="55"/>
      <c r="DT93" s="55"/>
      <c r="DU93" s="55"/>
      <c r="DV93" s="55"/>
      <c r="DW93" s="55"/>
      <c r="DX93" s="55"/>
      <c r="DY93" s="55"/>
      <c r="DZ93" s="55"/>
      <c r="EA93" s="55"/>
      <c r="EB93" s="55"/>
      <c r="EC93" s="55"/>
      <c r="ED93" s="55"/>
      <c r="EE93" s="55"/>
      <c r="EF93" s="55"/>
      <c r="EG93" s="55"/>
      <c r="EH93" s="55"/>
      <c r="EI93" s="55"/>
      <c r="EJ93" s="55"/>
      <c r="EK93" s="55"/>
      <c r="EL93" s="55"/>
      <c r="EM93" s="55"/>
      <c r="EN93" s="55"/>
      <c r="EO93" s="55"/>
      <c r="EP93" s="55"/>
      <c r="EQ93" s="55"/>
      <c r="ER93" s="55"/>
      <c r="ES93" s="55"/>
      <c r="ET93" s="55"/>
      <c r="EU93" s="55"/>
      <c r="EV93" s="55"/>
      <c r="EW93" s="55"/>
      <c r="EX93" s="55"/>
      <c r="EY93" s="55"/>
      <c r="EZ93" s="55"/>
      <c r="FA93" s="55"/>
      <c r="FB93" s="55"/>
      <c r="FC93" s="55"/>
      <c r="FD93" s="55"/>
      <c r="FE93" s="55"/>
      <c r="FF93" s="55"/>
      <c r="FG93" s="55"/>
      <c r="FH93" s="55"/>
      <c r="FI93" s="55"/>
      <c r="FJ93" s="55"/>
      <c r="FK93" s="55"/>
      <c r="FL93" s="55"/>
      <c r="FM93" s="55"/>
      <c r="FN93" s="55"/>
      <c r="FO93" s="55"/>
      <c r="FP93" s="55"/>
      <c r="FQ93" s="55"/>
      <c r="FR93" s="55"/>
      <c r="FS93" s="55"/>
      <c r="FT93" s="55"/>
      <c r="FU93" s="55"/>
      <c r="FV93" s="55"/>
      <c r="FW93" s="55"/>
      <c r="FX93" s="55"/>
      <c r="FY93" s="55"/>
      <c r="FZ93" s="55"/>
      <c r="GA93" s="55"/>
      <c r="GB93" s="55"/>
      <c r="GC93" s="55"/>
      <c r="GD93" s="55"/>
      <c r="GE93" s="55"/>
      <c r="GF93" s="55"/>
      <c r="GG93" s="55"/>
      <c r="GH93" s="55"/>
      <c r="GI93" s="55"/>
      <c r="GJ93" s="55"/>
      <c r="GK93" s="55"/>
      <c r="GL93" s="55"/>
      <c r="GM93" s="55"/>
      <c r="GN93" s="55"/>
      <c r="GO93" s="55"/>
      <c r="GP93" s="55"/>
      <c r="GQ93" s="55"/>
      <c r="GR93" s="55"/>
      <c r="GS93" s="55"/>
      <c r="GT93" s="55"/>
      <c r="GU93" s="55"/>
      <c r="GV93" s="55"/>
      <c r="GW93" s="55"/>
      <c r="GX93" s="55"/>
      <c r="GY93" s="55"/>
      <c r="GZ93" s="55"/>
      <c r="HA93" s="55"/>
      <c r="HB93" s="55"/>
      <c r="HC93" s="55"/>
      <c r="HD93" s="55"/>
      <c r="HE93" s="55"/>
      <c r="HF93" s="55"/>
      <c r="HG93" s="55"/>
      <c r="HH93" s="55"/>
      <c r="HI93" s="55"/>
      <c r="HJ93" s="55"/>
      <c r="HK93" s="55"/>
      <c r="HL93" s="55"/>
      <c r="HM93" s="55"/>
      <c r="HN93" s="55"/>
    </row>
    <row r="94" spans="1:222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/>
      <c r="BD94" s="55"/>
      <c r="BE94" s="55"/>
      <c r="BF94" s="55"/>
      <c r="BG94" s="55"/>
      <c r="BH94" s="55"/>
      <c r="BI94" s="55"/>
      <c r="BJ94" s="55"/>
      <c r="BK94" s="55"/>
      <c r="BL94" s="55"/>
      <c r="BM94" s="55"/>
      <c r="BN94" s="55"/>
      <c r="BO94" s="55"/>
      <c r="BP94" s="55"/>
      <c r="BQ94" s="55"/>
      <c r="BR94" s="55"/>
      <c r="BS94" s="55"/>
      <c r="BT94" s="55"/>
      <c r="BU94" s="55"/>
      <c r="BV94" s="55"/>
      <c r="BW94" s="55"/>
      <c r="BX94" s="55"/>
      <c r="BY94" s="55"/>
      <c r="BZ94" s="55"/>
      <c r="CA94" s="55"/>
      <c r="CB94" s="55"/>
      <c r="CC94" s="55"/>
      <c r="CD94" s="55"/>
      <c r="CE94" s="55"/>
      <c r="CF94" s="55"/>
      <c r="CG94" s="55"/>
      <c r="CH94" s="55"/>
      <c r="CI94" s="55"/>
      <c r="CJ94" s="55"/>
      <c r="CK94" s="55"/>
      <c r="CL94" s="55"/>
      <c r="CM94" s="55"/>
      <c r="CN94" s="55"/>
      <c r="CO94" s="55"/>
      <c r="CP94" s="55"/>
      <c r="CQ94" s="55"/>
      <c r="CR94" s="55"/>
      <c r="CS94" s="55"/>
      <c r="CT94" s="55"/>
      <c r="CU94" s="55"/>
      <c r="CV94" s="55"/>
      <c r="CW94" s="55"/>
      <c r="CX94" s="55"/>
      <c r="CY94" s="55"/>
      <c r="CZ94" s="55"/>
      <c r="DA94" s="55"/>
      <c r="DB94" s="55"/>
      <c r="DC94" s="55"/>
      <c r="DD94" s="55"/>
      <c r="DE94" s="55"/>
      <c r="DF94" s="55"/>
      <c r="DG94" s="55"/>
      <c r="DH94" s="55"/>
      <c r="DI94" s="55"/>
      <c r="DJ94" s="55"/>
      <c r="DK94" s="55"/>
      <c r="DL94" s="55"/>
      <c r="DM94" s="55"/>
      <c r="DN94" s="55"/>
      <c r="DO94" s="55"/>
      <c r="DP94" s="55"/>
      <c r="DQ94" s="55"/>
      <c r="DR94" s="55"/>
      <c r="DS94" s="55"/>
      <c r="DT94" s="55"/>
      <c r="DU94" s="55"/>
      <c r="DV94" s="55"/>
      <c r="DW94" s="55"/>
      <c r="DX94" s="55"/>
      <c r="DY94" s="55"/>
      <c r="DZ94" s="55"/>
      <c r="EA94" s="55"/>
      <c r="EB94" s="55"/>
      <c r="EC94" s="55"/>
      <c r="ED94" s="55"/>
      <c r="EE94" s="55"/>
      <c r="EF94" s="55"/>
      <c r="EG94" s="55"/>
      <c r="EH94" s="55"/>
      <c r="EI94" s="55"/>
      <c r="EJ94" s="55"/>
      <c r="EK94" s="55"/>
      <c r="EL94" s="55"/>
      <c r="EM94" s="55"/>
      <c r="EN94" s="55"/>
      <c r="EO94" s="55"/>
      <c r="EP94" s="55"/>
      <c r="EQ94" s="55"/>
      <c r="ER94" s="55"/>
      <c r="ES94" s="55"/>
      <c r="ET94" s="55"/>
      <c r="EU94" s="55"/>
      <c r="EV94" s="55"/>
      <c r="EW94" s="55"/>
      <c r="EX94" s="55"/>
      <c r="EY94" s="55"/>
      <c r="EZ94" s="55"/>
      <c r="FA94" s="55"/>
      <c r="FB94" s="55"/>
      <c r="FC94" s="55"/>
      <c r="FD94" s="55"/>
      <c r="FE94" s="55"/>
      <c r="FF94" s="55"/>
      <c r="FG94" s="55"/>
      <c r="FH94" s="55"/>
      <c r="FI94" s="55"/>
      <c r="FJ94" s="55"/>
      <c r="FK94" s="55"/>
      <c r="FL94" s="55"/>
      <c r="FM94" s="55"/>
      <c r="FN94" s="55"/>
      <c r="FO94" s="55"/>
      <c r="FP94" s="55"/>
      <c r="FQ94" s="55"/>
      <c r="FR94" s="55"/>
      <c r="FS94" s="55"/>
      <c r="FT94" s="55"/>
      <c r="FU94" s="55"/>
      <c r="FV94" s="55"/>
      <c r="FW94" s="55"/>
      <c r="FX94" s="55"/>
      <c r="FY94" s="55"/>
      <c r="FZ94" s="55"/>
      <c r="GA94" s="55"/>
      <c r="GB94" s="55"/>
      <c r="GC94" s="55"/>
      <c r="GD94" s="55"/>
      <c r="GE94" s="55"/>
      <c r="GF94" s="55"/>
      <c r="GG94" s="55"/>
      <c r="GH94" s="55"/>
      <c r="GI94" s="55"/>
      <c r="GJ94" s="55"/>
      <c r="GK94" s="55"/>
      <c r="GL94" s="55"/>
      <c r="GM94" s="55"/>
      <c r="GN94" s="55"/>
      <c r="GO94" s="55"/>
      <c r="GP94" s="55"/>
      <c r="GQ94" s="55"/>
      <c r="GR94" s="55"/>
      <c r="GS94" s="55"/>
      <c r="GT94" s="55"/>
      <c r="GU94" s="55"/>
      <c r="GV94" s="55"/>
      <c r="GW94" s="55"/>
      <c r="GX94" s="55"/>
      <c r="GY94" s="55"/>
      <c r="GZ94" s="55"/>
      <c r="HA94" s="55"/>
      <c r="HB94" s="55"/>
      <c r="HC94" s="55"/>
      <c r="HD94" s="55"/>
      <c r="HE94" s="55"/>
      <c r="HF94" s="55"/>
      <c r="HG94" s="55"/>
      <c r="HH94" s="55"/>
      <c r="HI94" s="55"/>
      <c r="HJ94" s="55"/>
      <c r="HK94" s="55"/>
      <c r="HL94" s="55"/>
      <c r="HM94" s="55"/>
      <c r="HN94" s="55"/>
    </row>
    <row r="95" spans="1:222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5"/>
      <c r="BD95" s="55"/>
      <c r="BE95" s="55"/>
      <c r="BF95" s="55"/>
      <c r="BG95" s="55"/>
      <c r="BH95" s="55"/>
      <c r="BI95" s="55"/>
      <c r="BJ95" s="55"/>
      <c r="BK95" s="55"/>
      <c r="BL95" s="55"/>
      <c r="BM95" s="55"/>
      <c r="BN95" s="55"/>
      <c r="BO95" s="55"/>
      <c r="BP95" s="55"/>
      <c r="BQ95" s="55"/>
      <c r="BR95" s="55"/>
      <c r="BS95" s="55"/>
      <c r="BT95" s="55"/>
      <c r="BU95" s="55"/>
      <c r="BV95" s="55"/>
      <c r="BW95" s="55"/>
      <c r="BX95" s="55"/>
      <c r="BY95" s="55"/>
      <c r="BZ95" s="55"/>
      <c r="CA95" s="55"/>
      <c r="CB95" s="55"/>
      <c r="CC95" s="55"/>
      <c r="CD95" s="55"/>
      <c r="CE95" s="55"/>
      <c r="CF95" s="55"/>
      <c r="CG95" s="55"/>
      <c r="CH95" s="55"/>
      <c r="CI95" s="55"/>
      <c r="CJ95" s="55"/>
      <c r="CK95" s="55"/>
      <c r="CL95" s="55"/>
      <c r="CM95" s="55"/>
      <c r="CN95" s="55"/>
      <c r="CO95" s="55"/>
      <c r="CP95" s="55"/>
      <c r="CQ95" s="55"/>
      <c r="CR95" s="55"/>
      <c r="CS95" s="55"/>
      <c r="CT95" s="55"/>
      <c r="CU95" s="55"/>
      <c r="CV95" s="55"/>
      <c r="CW95" s="55"/>
      <c r="CX95" s="55"/>
      <c r="CY95" s="55"/>
      <c r="CZ95" s="55"/>
      <c r="DA95" s="55"/>
      <c r="DB95" s="55"/>
      <c r="DC95" s="55"/>
      <c r="DD95" s="55"/>
      <c r="DE95" s="55"/>
      <c r="DF95" s="55"/>
      <c r="DG95" s="55"/>
      <c r="DH95" s="55"/>
      <c r="DI95" s="55"/>
      <c r="DJ95" s="55"/>
      <c r="DK95" s="55"/>
      <c r="DL95" s="55"/>
      <c r="DM95" s="55"/>
      <c r="DN95" s="55"/>
      <c r="DO95" s="55"/>
      <c r="DP95" s="55"/>
      <c r="DQ95" s="55"/>
      <c r="DR95" s="55"/>
      <c r="DS95" s="55"/>
      <c r="DT95" s="55"/>
      <c r="DU95" s="55"/>
      <c r="DV95" s="55"/>
      <c r="DW95" s="55"/>
      <c r="DX95" s="55"/>
      <c r="DY95" s="55"/>
      <c r="DZ95" s="55"/>
      <c r="EA95" s="55"/>
      <c r="EB95" s="55"/>
      <c r="EC95" s="55"/>
      <c r="ED95" s="55"/>
      <c r="EE95" s="55"/>
      <c r="EF95" s="55"/>
      <c r="EG95" s="55"/>
      <c r="EH95" s="55"/>
      <c r="EI95" s="55"/>
      <c r="EJ95" s="55"/>
      <c r="EK95" s="55"/>
      <c r="EL95" s="55"/>
      <c r="EM95" s="55"/>
      <c r="EN95" s="55"/>
      <c r="EO95" s="55"/>
      <c r="EP95" s="55"/>
      <c r="EQ95" s="55"/>
      <c r="ER95" s="55"/>
      <c r="ES95" s="55"/>
      <c r="ET95" s="55"/>
      <c r="EU95" s="55"/>
      <c r="EV95" s="55"/>
      <c r="EW95" s="55"/>
      <c r="EX95" s="55"/>
      <c r="EY95" s="55"/>
      <c r="EZ95" s="55"/>
      <c r="FA95" s="55"/>
      <c r="FB95" s="55"/>
      <c r="FC95" s="55"/>
      <c r="FD95" s="55"/>
      <c r="FE95" s="55"/>
      <c r="FF95" s="55"/>
      <c r="FG95" s="55"/>
      <c r="FH95" s="55"/>
      <c r="FI95" s="55"/>
      <c r="FJ95" s="55"/>
      <c r="FK95" s="55"/>
      <c r="FL95" s="55"/>
      <c r="FM95" s="55"/>
      <c r="FN95" s="55"/>
      <c r="FO95" s="55"/>
      <c r="FP95" s="55"/>
      <c r="FQ95" s="55"/>
      <c r="FR95" s="55"/>
      <c r="FS95" s="55"/>
      <c r="FT95" s="55"/>
      <c r="FU95" s="55"/>
      <c r="FV95" s="55"/>
      <c r="FW95" s="55"/>
      <c r="FX95" s="55"/>
      <c r="FY95" s="55"/>
      <c r="FZ95" s="55"/>
      <c r="GA95" s="55"/>
      <c r="GB95" s="55"/>
      <c r="GC95" s="55"/>
      <c r="GD95" s="55"/>
      <c r="GE95" s="55"/>
      <c r="GF95" s="55"/>
      <c r="GG95" s="55"/>
      <c r="GH95" s="55"/>
      <c r="GI95" s="55"/>
      <c r="GJ95" s="55"/>
      <c r="GK95" s="55"/>
      <c r="GL95" s="55"/>
      <c r="GM95" s="55"/>
      <c r="GN95" s="55"/>
      <c r="GO95" s="55"/>
      <c r="GP95" s="55"/>
      <c r="GQ95" s="55"/>
      <c r="GR95" s="55"/>
      <c r="GS95" s="55"/>
      <c r="GT95" s="55"/>
      <c r="GU95" s="55"/>
      <c r="GV95" s="55"/>
      <c r="GW95" s="55"/>
      <c r="GX95" s="55"/>
      <c r="GY95" s="55"/>
      <c r="GZ95" s="55"/>
      <c r="HA95" s="55"/>
      <c r="HB95" s="55"/>
      <c r="HC95" s="55"/>
      <c r="HD95" s="55"/>
      <c r="HE95" s="55"/>
      <c r="HF95" s="55"/>
      <c r="HG95" s="55"/>
      <c r="HH95" s="55"/>
      <c r="HI95" s="55"/>
      <c r="HJ95" s="55"/>
      <c r="HK95" s="55"/>
      <c r="HL95" s="55"/>
      <c r="HM95" s="55"/>
      <c r="HN95" s="55"/>
    </row>
    <row r="96" spans="1:222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5"/>
      <c r="BD96" s="55"/>
      <c r="BE96" s="55"/>
      <c r="BF96" s="55"/>
      <c r="BG96" s="55"/>
      <c r="BH96" s="55"/>
      <c r="BI96" s="55"/>
      <c r="BJ96" s="55"/>
      <c r="BK96" s="55"/>
      <c r="BL96" s="55"/>
      <c r="BM96" s="55"/>
      <c r="BN96" s="55"/>
      <c r="BO96" s="55"/>
      <c r="BP96" s="55"/>
      <c r="BQ96" s="55"/>
      <c r="BR96" s="55"/>
      <c r="BS96" s="55"/>
      <c r="BT96" s="55"/>
      <c r="BU96" s="55"/>
      <c r="BV96" s="55"/>
      <c r="BW96" s="55"/>
      <c r="BX96" s="55"/>
      <c r="BY96" s="55"/>
      <c r="BZ96" s="55"/>
      <c r="CA96" s="55"/>
      <c r="CB96" s="55"/>
      <c r="CC96" s="55"/>
      <c r="CD96" s="55"/>
      <c r="CE96" s="55"/>
      <c r="CF96" s="55"/>
      <c r="CG96" s="55"/>
      <c r="CH96" s="55"/>
      <c r="CI96" s="55"/>
      <c r="CJ96" s="55"/>
      <c r="CK96" s="55"/>
      <c r="CL96" s="55"/>
      <c r="CM96" s="55"/>
      <c r="CN96" s="55"/>
      <c r="CO96" s="55"/>
      <c r="CP96" s="55"/>
      <c r="CQ96" s="55"/>
      <c r="CR96" s="55"/>
      <c r="CS96" s="55"/>
      <c r="CT96" s="55"/>
      <c r="CU96" s="55"/>
      <c r="CV96" s="55"/>
      <c r="CW96" s="55"/>
      <c r="CX96" s="55"/>
      <c r="CY96" s="55"/>
      <c r="CZ96" s="55"/>
      <c r="DA96" s="55"/>
      <c r="DB96" s="55"/>
      <c r="DC96" s="55"/>
      <c r="DD96" s="55"/>
      <c r="DE96" s="55"/>
      <c r="DF96" s="55"/>
      <c r="DG96" s="55"/>
      <c r="DH96" s="55"/>
      <c r="DI96" s="55"/>
      <c r="DJ96" s="55"/>
      <c r="DK96" s="55"/>
      <c r="DL96" s="55"/>
      <c r="DM96" s="55"/>
      <c r="DN96" s="55"/>
      <c r="DO96" s="55"/>
      <c r="DP96" s="55"/>
      <c r="DQ96" s="55"/>
      <c r="DR96" s="55"/>
      <c r="DS96" s="55"/>
      <c r="DT96" s="55"/>
      <c r="DU96" s="55"/>
      <c r="DV96" s="55"/>
      <c r="DW96" s="55"/>
      <c r="DX96" s="55"/>
      <c r="DY96" s="55"/>
      <c r="DZ96" s="55"/>
      <c r="EA96" s="55"/>
      <c r="EB96" s="55"/>
      <c r="EC96" s="55"/>
      <c r="ED96" s="55"/>
      <c r="EE96" s="55"/>
      <c r="EF96" s="55"/>
      <c r="EG96" s="55"/>
      <c r="EH96" s="55"/>
      <c r="EI96" s="55"/>
      <c r="EJ96" s="55"/>
      <c r="EK96" s="55"/>
      <c r="EL96" s="55"/>
      <c r="EM96" s="55"/>
      <c r="EN96" s="55"/>
      <c r="EO96" s="55"/>
      <c r="EP96" s="55"/>
      <c r="EQ96" s="55"/>
      <c r="ER96" s="55"/>
      <c r="ES96" s="55"/>
      <c r="ET96" s="55"/>
      <c r="EU96" s="55"/>
      <c r="EV96" s="55"/>
      <c r="EW96" s="55"/>
      <c r="EX96" s="55"/>
      <c r="EY96" s="55"/>
      <c r="EZ96" s="55"/>
      <c r="FA96" s="55"/>
      <c r="FB96" s="55"/>
      <c r="FC96" s="55"/>
      <c r="FD96" s="55"/>
      <c r="FE96" s="55"/>
      <c r="FF96" s="55"/>
      <c r="FG96" s="55"/>
      <c r="FH96" s="55"/>
      <c r="FI96" s="55"/>
      <c r="FJ96" s="55"/>
      <c r="FK96" s="55"/>
      <c r="FL96" s="55"/>
      <c r="FM96" s="55"/>
      <c r="FN96" s="55"/>
      <c r="FO96" s="55"/>
      <c r="FP96" s="55"/>
      <c r="FQ96" s="55"/>
      <c r="FR96" s="55"/>
      <c r="FS96" s="55"/>
      <c r="FT96" s="55"/>
      <c r="FU96" s="55"/>
      <c r="FV96" s="55"/>
      <c r="FW96" s="55"/>
      <c r="FX96" s="55"/>
      <c r="FY96" s="55"/>
      <c r="FZ96" s="55"/>
      <c r="GA96" s="55"/>
      <c r="GB96" s="55"/>
      <c r="GC96" s="55"/>
      <c r="GD96" s="55"/>
      <c r="GE96" s="55"/>
      <c r="GF96" s="55"/>
      <c r="GG96" s="55"/>
      <c r="GH96" s="55"/>
      <c r="GI96" s="55"/>
      <c r="GJ96" s="55"/>
      <c r="GK96" s="55"/>
      <c r="GL96" s="55"/>
      <c r="GM96" s="55"/>
      <c r="GN96" s="55"/>
      <c r="GO96" s="55"/>
      <c r="GP96" s="55"/>
      <c r="GQ96" s="55"/>
      <c r="GR96" s="55"/>
      <c r="GS96" s="55"/>
      <c r="GT96" s="55"/>
      <c r="GU96" s="55"/>
      <c r="GV96" s="55"/>
      <c r="GW96" s="55"/>
      <c r="GX96" s="55"/>
      <c r="GY96" s="55"/>
      <c r="GZ96" s="55"/>
      <c r="HA96" s="55"/>
      <c r="HB96" s="55"/>
      <c r="HC96" s="55"/>
      <c r="HD96" s="55"/>
      <c r="HE96" s="55"/>
      <c r="HF96" s="55"/>
      <c r="HG96" s="55"/>
      <c r="HH96" s="55"/>
      <c r="HI96" s="55"/>
      <c r="HJ96" s="55"/>
      <c r="HK96" s="55"/>
      <c r="HL96" s="55"/>
      <c r="HM96" s="55"/>
      <c r="HN96" s="55"/>
    </row>
    <row r="97" spans="1:222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/>
      <c r="BD97" s="55"/>
      <c r="BE97" s="55"/>
      <c r="BF97" s="55"/>
      <c r="BG97" s="55"/>
      <c r="BH97" s="55"/>
      <c r="BI97" s="55"/>
      <c r="BJ97" s="55"/>
      <c r="BK97" s="55"/>
      <c r="BL97" s="55"/>
      <c r="BM97" s="55"/>
      <c r="BN97" s="55"/>
      <c r="BO97" s="55"/>
      <c r="BP97" s="55"/>
      <c r="BQ97" s="55"/>
      <c r="BR97" s="55"/>
      <c r="BS97" s="55"/>
      <c r="BT97" s="55"/>
      <c r="BU97" s="55"/>
      <c r="BV97" s="55"/>
      <c r="BW97" s="55"/>
      <c r="BX97" s="55"/>
      <c r="BY97" s="55"/>
      <c r="BZ97" s="55"/>
      <c r="CA97" s="55"/>
      <c r="CB97" s="55"/>
      <c r="CC97" s="55"/>
      <c r="CD97" s="55"/>
      <c r="CE97" s="55"/>
      <c r="CF97" s="55"/>
      <c r="CG97" s="55"/>
      <c r="CH97" s="55"/>
      <c r="CI97" s="55"/>
      <c r="CJ97" s="55"/>
      <c r="CK97" s="55"/>
      <c r="CL97" s="55"/>
      <c r="CM97" s="55"/>
      <c r="CN97" s="55"/>
      <c r="CO97" s="55"/>
      <c r="CP97" s="55"/>
      <c r="CQ97" s="55"/>
      <c r="CR97" s="55"/>
      <c r="CS97" s="55"/>
      <c r="CT97" s="55"/>
      <c r="CU97" s="55"/>
      <c r="CV97" s="55"/>
      <c r="CW97" s="55"/>
      <c r="CX97" s="55"/>
      <c r="CY97" s="55"/>
      <c r="CZ97" s="55"/>
      <c r="DA97" s="55"/>
      <c r="DB97" s="55"/>
      <c r="DC97" s="55"/>
      <c r="DD97" s="55"/>
      <c r="DE97" s="55"/>
      <c r="DF97" s="55"/>
      <c r="DG97" s="55"/>
      <c r="DH97" s="55"/>
      <c r="DI97" s="55"/>
      <c r="DJ97" s="55"/>
      <c r="DK97" s="55"/>
      <c r="DL97" s="55"/>
      <c r="DM97" s="55"/>
      <c r="DN97" s="55"/>
      <c r="DO97" s="55"/>
      <c r="DP97" s="55"/>
      <c r="DQ97" s="55"/>
      <c r="DR97" s="55"/>
      <c r="DS97" s="55"/>
      <c r="DT97" s="55"/>
      <c r="DU97" s="55"/>
      <c r="DV97" s="55"/>
      <c r="DW97" s="55"/>
      <c r="DX97" s="55"/>
      <c r="DY97" s="55"/>
      <c r="DZ97" s="55"/>
      <c r="EA97" s="55"/>
      <c r="EB97" s="55"/>
      <c r="EC97" s="55"/>
      <c r="ED97" s="55"/>
      <c r="EE97" s="55"/>
      <c r="EF97" s="55"/>
      <c r="EG97" s="55"/>
      <c r="EH97" s="55"/>
      <c r="EI97" s="55"/>
      <c r="EJ97" s="55"/>
      <c r="EK97" s="55"/>
      <c r="EL97" s="55"/>
      <c r="EM97" s="55"/>
      <c r="EN97" s="55"/>
      <c r="EO97" s="55"/>
      <c r="EP97" s="55"/>
      <c r="EQ97" s="55"/>
      <c r="ER97" s="55"/>
      <c r="ES97" s="55"/>
      <c r="ET97" s="55"/>
      <c r="EU97" s="55"/>
      <c r="EV97" s="55"/>
      <c r="EW97" s="55"/>
      <c r="EX97" s="55"/>
      <c r="EY97" s="55"/>
      <c r="EZ97" s="55"/>
      <c r="FA97" s="55"/>
      <c r="FB97" s="55"/>
      <c r="FC97" s="55"/>
      <c r="FD97" s="55"/>
      <c r="FE97" s="55"/>
      <c r="FF97" s="55"/>
      <c r="FG97" s="55"/>
      <c r="FH97" s="55"/>
      <c r="FI97" s="55"/>
      <c r="FJ97" s="55"/>
      <c r="FK97" s="55"/>
      <c r="FL97" s="55"/>
      <c r="FM97" s="55"/>
      <c r="FN97" s="55"/>
      <c r="FO97" s="55"/>
      <c r="FP97" s="55"/>
      <c r="FQ97" s="55"/>
      <c r="FR97" s="55"/>
      <c r="FS97" s="55"/>
      <c r="FT97" s="55"/>
      <c r="FU97" s="55"/>
      <c r="FV97" s="55"/>
      <c r="FW97" s="55"/>
      <c r="FX97" s="55"/>
      <c r="FY97" s="55"/>
      <c r="FZ97" s="55"/>
      <c r="GA97" s="55"/>
      <c r="GB97" s="55"/>
      <c r="GC97" s="55"/>
      <c r="GD97" s="55"/>
      <c r="GE97" s="55"/>
      <c r="GF97" s="55"/>
      <c r="GG97" s="55"/>
      <c r="GH97" s="55"/>
      <c r="GI97" s="55"/>
      <c r="GJ97" s="55"/>
      <c r="GK97" s="55"/>
      <c r="GL97" s="55"/>
      <c r="GM97" s="55"/>
      <c r="GN97" s="55"/>
      <c r="GO97" s="55"/>
      <c r="GP97" s="55"/>
      <c r="GQ97" s="55"/>
      <c r="GR97" s="55"/>
      <c r="GS97" s="55"/>
      <c r="GT97" s="55"/>
      <c r="GU97" s="55"/>
      <c r="GV97" s="55"/>
      <c r="GW97" s="55"/>
      <c r="GX97" s="55"/>
      <c r="GY97" s="55"/>
      <c r="GZ97" s="55"/>
      <c r="HA97" s="55"/>
      <c r="HB97" s="55"/>
      <c r="HC97" s="55"/>
      <c r="HD97" s="55"/>
      <c r="HE97" s="55"/>
      <c r="HF97" s="55"/>
      <c r="HG97" s="55"/>
      <c r="HH97" s="55"/>
      <c r="HI97" s="55"/>
      <c r="HJ97" s="55"/>
      <c r="HK97" s="55"/>
      <c r="HL97" s="55"/>
      <c r="HM97" s="55"/>
      <c r="HN97" s="55"/>
    </row>
    <row r="98" spans="1:222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5"/>
      <c r="BC98" s="55"/>
      <c r="BD98" s="55"/>
      <c r="BE98" s="55"/>
      <c r="BF98" s="55"/>
      <c r="BG98" s="55"/>
      <c r="BH98" s="55"/>
      <c r="BI98" s="55"/>
      <c r="BJ98" s="55"/>
      <c r="BK98" s="55"/>
      <c r="BL98" s="55"/>
      <c r="BM98" s="55"/>
      <c r="BN98" s="55"/>
      <c r="BO98" s="55"/>
      <c r="BP98" s="55"/>
      <c r="BQ98" s="55"/>
      <c r="BR98" s="55"/>
      <c r="BS98" s="55"/>
      <c r="BT98" s="55"/>
      <c r="BU98" s="55"/>
      <c r="BV98" s="55"/>
      <c r="BW98" s="55"/>
      <c r="BX98" s="55"/>
      <c r="BY98" s="55"/>
      <c r="BZ98" s="55"/>
      <c r="CA98" s="55"/>
      <c r="CB98" s="55"/>
      <c r="CC98" s="55"/>
      <c r="CD98" s="55"/>
      <c r="CE98" s="55"/>
      <c r="CF98" s="55"/>
      <c r="CG98" s="55"/>
      <c r="CH98" s="55"/>
      <c r="CI98" s="55"/>
      <c r="CJ98" s="55"/>
      <c r="CK98" s="55"/>
      <c r="CL98" s="55"/>
      <c r="CM98" s="55"/>
      <c r="CN98" s="55"/>
      <c r="CO98" s="55"/>
      <c r="CP98" s="55"/>
      <c r="CQ98" s="55"/>
      <c r="CR98" s="55"/>
      <c r="CS98" s="55"/>
      <c r="CT98" s="55"/>
      <c r="CU98" s="55"/>
      <c r="CV98" s="55"/>
      <c r="CW98" s="55"/>
      <c r="CX98" s="55"/>
      <c r="CY98" s="55"/>
      <c r="CZ98" s="55"/>
      <c r="DA98" s="55"/>
      <c r="DB98" s="55"/>
      <c r="DC98" s="55"/>
      <c r="DD98" s="55"/>
      <c r="DE98" s="55"/>
      <c r="DF98" s="55"/>
      <c r="DG98" s="55"/>
      <c r="DH98" s="55"/>
      <c r="DI98" s="55"/>
      <c r="DJ98" s="55"/>
      <c r="DK98" s="55"/>
      <c r="DL98" s="55"/>
      <c r="DM98" s="55"/>
      <c r="DN98" s="55"/>
      <c r="DO98" s="55"/>
      <c r="DP98" s="55"/>
      <c r="DQ98" s="55"/>
      <c r="DR98" s="55"/>
      <c r="DS98" s="55"/>
      <c r="DT98" s="55"/>
      <c r="DU98" s="55"/>
      <c r="DV98" s="55"/>
      <c r="DW98" s="55"/>
      <c r="DX98" s="55"/>
      <c r="DY98" s="55"/>
      <c r="DZ98" s="55"/>
      <c r="EA98" s="55"/>
      <c r="EB98" s="55"/>
      <c r="EC98" s="55"/>
      <c r="ED98" s="55"/>
      <c r="EE98" s="55"/>
      <c r="EF98" s="55"/>
      <c r="EG98" s="55"/>
      <c r="EH98" s="55"/>
      <c r="EI98" s="55"/>
      <c r="EJ98" s="55"/>
      <c r="EK98" s="55"/>
      <c r="EL98" s="55"/>
      <c r="EM98" s="55"/>
      <c r="EN98" s="55"/>
      <c r="EO98" s="55"/>
      <c r="EP98" s="55"/>
      <c r="EQ98" s="55"/>
      <c r="ER98" s="55"/>
      <c r="ES98" s="55"/>
      <c r="ET98" s="55"/>
      <c r="EU98" s="55"/>
      <c r="EV98" s="55"/>
      <c r="EW98" s="55"/>
      <c r="EX98" s="55"/>
      <c r="EY98" s="55"/>
      <c r="EZ98" s="55"/>
      <c r="FA98" s="55"/>
      <c r="FB98" s="55"/>
      <c r="FC98" s="55"/>
      <c r="FD98" s="55"/>
      <c r="FE98" s="55"/>
      <c r="FF98" s="55"/>
      <c r="FG98" s="55"/>
      <c r="FH98" s="55"/>
      <c r="FI98" s="55"/>
      <c r="FJ98" s="55"/>
      <c r="FK98" s="55"/>
      <c r="FL98" s="55"/>
      <c r="FM98" s="55"/>
      <c r="FN98" s="55"/>
      <c r="FO98" s="55"/>
      <c r="FP98" s="55"/>
      <c r="FQ98" s="55"/>
      <c r="FR98" s="55"/>
      <c r="FS98" s="55"/>
      <c r="FT98" s="55"/>
      <c r="FU98" s="55"/>
      <c r="FV98" s="55"/>
      <c r="FW98" s="55"/>
      <c r="FX98" s="55"/>
      <c r="FY98" s="55"/>
      <c r="FZ98" s="55"/>
      <c r="GA98" s="55"/>
      <c r="GB98" s="55"/>
      <c r="GC98" s="55"/>
      <c r="GD98" s="55"/>
      <c r="GE98" s="55"/>
      <c r="GF98" s="55"/>
      <c r="GG98" s="55"/>
      <c r="GH98" s="55"/>
      <c r="GI98" s="55"/>
      <c r="GJ98" s="55"/>
      <c r="GK98" s="55"/>
      <c r="GL98" s="55"/>
      <c r="GM98" s="55"/>
      <c r="GN98" s="55"/>
      <c r="GO98" s="55"/>
      <c r="GP98" s="55"/>
      <c r="GQ98" s="55"/>
      <c r="GR98" s="55"/>
      <c r="GS98" s="55"/>
      <c r="GT98" s="55"/>
      <c r="GU98" s="55"/>
      <c r="GV98" s="55"/>
      <c r="GW98" s="55"/>
      <c r="GX98" s="55"/>
      <c r="GY98" s="55"/>
      <c r="GZ98" s="55"/>
      <c r="HA98" s="55"/>
      <c r="HB98" s="55"/>
      <c r="HC98" s="55"/>
      <c r="HD98" s="55"/>
      <c r="HE98" s="55"/>
      <c r="HF98" s="55"/>
      <c r="HG98" s="55"/>
      <c r="HH98" s="55"/>
      <c r="HI98" s="55"/>
      <c r="HJ98" s="55"/>
      <c r="HK98" s="55"/>
      <c r="HL98" s="55"/>
      <c r="HM98" s="55"/>
      <c r="HN98" s="55"/>
    </row>
    <row r="99" spans="1:222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55"/>
      <c r="BC99" s="55"/>
      <c r="BD99" s="55"/>
      <c r="BE99" s="55"/>
      <c r="BF99" s="55"/>
      <c r="BG99" s="55"/>
      <c r="BH99" s="55"/>
      <c r="BI99" s="55"/>
      <c r="BJ99" s="55"/>
      <c r="BK99" s="55"/>
      <c r="BL99" s="55"/>
      <c r="BM99" s="55"/>
      <c r="BN99" s="55"/>
      <c r="BO99" s="55"/>
      <c r="BP99" s="55"/>
      <c r="BQ99" s="55"/>
      <c r="BR99" s="55"/>
      <c r="BS99" s="55"/>
      <c r="BT99" s="55"/>
      <c r="BU99" s="55"/>
      <c r="BV99" s="55"/>
      <c r="BW99" s="55"/>
      <c r="BX99" s="55"/>
      <c r="BY99" s="55"/>
      <c r="BZ99" s="55"/>
      <c r="CA99" s="55"/>
      <c r="CB99" s="55"/>
      <c r="CC99" s="55"/>
      <c r="CD99" s="55"/>
      <c r="CE99" s="55"/>
      <c r="CF99" s="55"/>
      <c r="CG99" s="55"/>
      <c r="CH99" s="55"/>
      <c r="CI99" s="55"/>
      <c r="CJ99" s="55"/>
      <c r="CK99" s="55"/>
      <c r="CL99" s="55"/>
      <c r="CM99" s="55"/>
      <c r="CN99" s="55"/>
      <c r="CO99" s="55"/>
      <c r="CP99" s="55"/>
      <c r="CQ99" s="55"/>
      <c r="CR99" s="55"/>
      <c r="CS99" s="55"/>
      <c r="CT99" s="55"/>
      <c r="CU99" s="55"/>
      <c r="CV99" s="55"/>
      <c r="CW99" s="55"/>
      <c r="CX99" s="55"/>
      <c r="CY99" s="55"/>
      <c r="CZ99" s="55"/>
      <c r="DA99" s="55"/>
      <c r="DB99" s="55"/>
      <c r="DC99" s="55"/>
      <c r="DD99" s="55"/>
      <c r="DE99" s="55"/>
      <c r="DF99" s="55"/>
      <c r="DG99" s="55"/>
      <c r="DH99" s="55"/>
      <c r="DI99" s="55"/>
      <c r="DJ99" s="55"/>
      <c r="DK99" s="55"/>
      <c r="DL99" s="55"/>
      <c r="DM99" s="55"/>
      <c r="DN99" s="55"/>
      <c r="DO99" s="55"/>
      <c r="DP99" s="55"/>
      <c r="DQ99" s="55"/>
      <c r="DR99" s="55"/>
      <c r="DS99" s="55"/>
      <c r="DT99" s="55"/>
      <c r="DU99" s="55"/>
      <c r="DV99" s="55"/>
      <c r="DW99" s="55"/>
      <c r="DX99" s="55"/>
      <c r="DY99" s="55"/>
      <c r="DZ99" s="55"/>
      <c r="EA99" s="55"/>
      <c r="EB99" s="55"/>
      <c r="EC99" s="55"/>
      <c r="ED99" s="55"/>
      <c r="EE99" s="55"/>
      <c r="EF99" s="55"/>
      <c r="EG99" s="55"/>
      <c r="EH99" s="55"/>
      <c r="EI99" s="55"/>
      <c r="EJ99" s="55"/>
      <c r="EK99" s="55"/>
      <c r="EL99" s="55"/>
      <c r="EM99" s="55"/>
      <c r="EN99" s="55"/>
      <c r="EO99" s="55"/>
      <c r="EP99" s="55"/>
      <c r="EQ99" s="55"/>
      <c r="ER99" s="55"/>
      <c r="ES99" s="55"/>
      <c r="ET99" s="55"/>
      <c r="EU99" s="55"/>
      <c r="EV99" s="55"/>
      <c r="EW99" s="55"/>
      <c r="EX99" s="55"/>
      <c r="EY99" s="55"/>
      <c r="EZ99" s="55"/>
      <c r="FA99" s="55"/>
      <c r="FB99" s="55"/>
      <c r="FC99" s="55"/>
      <c r="FD99" s="55"/>
      <c r="FE99" s="55"/>
      <c r="FF99" s="55"/>
      <c r="FG99" s="55"/>
      <c r="FH99" s="55"/>
      <c r="FI99" s="55"/>
      <c r="FJ99" s="55"/>
      <c r="FK99" s="55"/>
      <c r="FL99" s="55"/>
      <c r="FM99" s="55"/>
      <c r="FN99" s="55"/>
      <c r="FO99" s="55"/>
      <c r="FP99" s="55"/>
      <c r="FQ99" s="55"/>
      <c r="FR99" s="55"/>
      <c r="FS99" s="55"/>
      <c r="FT99" s="55"/>
      <c r="FU99" s="55"/>
      <c r="FV99" s="55"/>
      <c r="FW99" s="55"/>
      <c r="FX99" s="55"/>
      <c r="FY99" s="55"/>
      <c r="FZ99" s="55"/>
      <c r="GA99" s="55"/>
      <c r="GB99" s="55"/>
      <c r="GC99" s="55"/>
      <c r="GD99" s="55"/>
      <c r="GE99" s="55"/>
      <c r="GF99" s="55"/>
      <c r="GG99" s="55"/>
      <c r="GH99" s="55"/>
      <c r="GI99" s="55"/>
      <c r="GJ99" s="55"/>
      <c r="GK99" s="55"/>
      <c r="GL99" s="55"/>
      <c r="GM99" s="55"/>
      <c r="GN99" s="55"/>
      <c r="GO99" s="55"/>
      <c r="GP99" s="55"/>
      <c r="GQ99" s="55"/>
      <c r="GR99" s="55"/>
      <c r="GS99" s="55"/>
      <c r="GT99" s="55"/>
      <c r="GU99" s="55"/>
      <c r="GV99" s="55"/>
      <c r="GW99" s="55"/>
      <c r="GX99" s="55"/>
      <c r="GY99" s="55"/>
      <c r="GZ99" s="55"/>
      <c r="HA99" s="55"/>
      <c r="HB99" s="55"/>
      <c r="HC99" s="55"/>
      <c r="HD99" s="55"/>
      <c r="HE99" s="55"/>
      <c r="HF99" s="55"/>
      <c r="HG99" s="55"/>
      <c r="HH99" s="55"/>
      <c r="HI99" s="55"/>
      <c r="HJ99" s="55"/>
      <c r="HK99" s="55"/>
      <c r="HL99" s="55"/>
      <c r="HM99" s="55"/>
      <c r="HN99" s="55"/>
    </row>
    <row r="100" spans="1:222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  <c r="BD100" s="55"/>
      <c r="BE100" s="55"/>
      <c r="BF100" s="55"/>
      <c r="BG100" s="55"/>
      <c r="BH100" s="55"/>
      <c r="BI100" s="55"/>
      <c r="BJ100" s="55"/>
      <c r="BK100" s="55"/>
      <c r="BL100" s="55"/>
      <c r="BM100" s="55"/>
      <c r="BN100" s="55"/>
      <c r="BO100" s="55"/>
      <c r="BP100" s="55"/>
      <c r="BQ100" s="55"/>
      <c r="BR100" s="55"/>
      <c r="BS100" s="55"/>
      <c r="BT100" s="55"/>
      <c r="BU100" s="55"/>
      <c r="BV100" s="55"/>
      <c r="BW100" s="55"/>
      <c r="BX100" s="55"/>
      <c r="BY100" s="55"/>
      <c r="BZ100" s="55"/>
      <c r="CA100" s="55"/>
      <c r="CB100" s="55"/>
      <c r="CC100" s="55"/>
      <c r="CD100" s="55"/>
      <c r="CE100" s="55"/>
      <c r="CF100" s="55"/>
      <c r="CG100" s="55"/>
      <c r="CH100" s="55"/>
      <c r="CI100" s="55"/>
      <c r="CJ100" s="55"/>
      <c r="CK100" s="55"/>
      <c r="CL100" s="55"/>
      <c r="CM100" s="55"/>
      <c r="CN100" s="55"/>
      <c r="CO100" s="55"/>
      <c r="CP100" s="55"/>
      <c r="CQ100" s="55"/>
      <c r="CR100" s="55"/>
      <c r="CS100" s="55"/>
      <c r="CT100" s="55"/>
      <c r="CU100" s="55"/>
      <c r="CV100" s="55"/>
      <c r="CW100" s="55"/>
      <c r="CX100" s="55"/>
      <c r="CY100" s="55"/>
      <c r="CZ100" s="55"/>
      <c r="DA100" s="55"/>
      <c r="DB100" s="55"/>
      <c r="DC100" s="55"/>
      <c r="DD100" s="55"/>
      <c r="DE100" s="55"/>
      <c r="DF100" s="55"/>
      <c r="DG100" s="55"/>
      <c r="DH100" s="55"/>
      <c r="DI100" s="55"/>
      <c r="DJ100" s="55"/>
      <c r="DK100" s="55"/>
      <c r="DL100" s="55"/>
      <c r="DM100" s="55"/>
      <c r="DN100" s="55"/>
      <c r="DO100" s="55"/>
      <c r="DP100" s="55"/>
      <c r="DQ100" s="55"/>
      <c r="DR100" s="55"/>
      <c r="DS100" s="55"/>
      <c r="DT100" s="55"/>
      <c r="DU100" s="55"/>
      <c r="DV100" s="55"/>
      <c r="DW100" s="55"/>
      <c r="DX100" s="55"/>
      <c r="DY100" s="55"/>
      <c r="DZ100" s="55"/>
      <c r="EA100" s="55"/>
      <c r="EB100" s="55"/>
      <c r="EC100" s="55"/>
      <c r="ED100" s="55"/>
      <c r="EE100" s="55"/>
      <c r="EF100" s="55"/>
      <c r="EG100" s="55"/>
      <c r="EH100" s="55"/>
      <c r="EI100" s="55"/>
      <c r="EJ100" s="55"/>
      <c r="EK100" s="55"/>
      <c r="EL100" s="55"/>
      <c r="EM100" s="55"/>
      <c r="EN100" s="55"/>
      <c r="EO100" s="55"/>
      <c r="EP100" s="55"/>
      <c r="EQ100" s="55"/>
      <c r="ER100" s="55"/>
      <c r="ES100" s="55"/>
      <c r="ET100" s="55"/>
      <c r="EU100" s="55"/>
      <c r="EV100" s="55"/>
      <c r="EW100" s="55"/>
      <c r="EX100" s="55"/>
      <c r="EY100" s="55"/>
      <c r="EZ100" s="55"/>
      <c r="FA100" s="55"/>
      <c r="FB100" s="55"/>
      <c r="FC100" s="55"/>
      <c r="FD100" s="55"/>
      <c r="FE100" s="55"/>
      <c r="FF100" s="55"/>
      <c r="FG100" s="55"/>
      <c r="FH100" s="55"/>
      <c r="FI100" s="55"/>
      <c r="FJ100" s="55"/>
      <c r="FK100" s="55"/>
      <c r="FL100" s="55"/>
      <c r="FM100" s="55"/>
      <c r="FN100" s="55"/>
      <c r="FO100" s="55"/>
      <c r="FP100" s="55"/>
      <c r="FQ100" s="55"/>
      <c r="FR100" s="55"/>
      <c r="FS100" s="55"/>
      <c r="FT100" s="55"/>
      <c r="FU100" s="55"/>
      <c r="FV100" s="55"/>
      <c r="FW100" s="55"/>
      <c r="FX100" s="55"/>
      <c r="FY100" s="55"/>
      <c r="FZ100" s="55"/>
      <c r="GA100" s="55"/>
      <c r="GB100" s="55"/>
      <c r="GC100" s="55"/>
      <c r="GD100" s="55"/>
      <c r="GE100" s="55"/>
      <c r="GF100" s="55"/>
      <c r="GG100" s="55"/>
      <c r="GH100" s="55"/>
      <c r="GI100" s="55"/>
      <c r="GJ100" s="55"/>
      <c r="GK100" s="55"/>
      <c r="GL100" s="55"/>
      <c r="GM100" s="55"/>
      <c r="GN100" s="55"/>
      <c r="GO100" s="55"/>
      <c r="GP100" s="55"/>
      <c r="GQ100" s="55"/>
      <c r="GR100" s="55"/>
      <c r="GS100" s="55"/>
      <c r="GT100" s="55"/>
      <c r="GU100" s="55"/>
      <c r="GV100" s="55"/>
      <c r="GW100" s="55"/>
      <c r="GX100" s="55"/>
      <c r="GY100" s="55"/>
      <c r="GZ100" s="55"/>
      <c r="HA100" s="55"/>
      <c r="HB100" s="55"/>
      <c r="HC100" s="55"/>
      <c r="HD100" s="55"/>
      <c r="HE100" s="55"/>
      <c r="HF100" s="55"/>
      <c r="HG100" s="55"/>
      <c r="HH100" s="55"/>
      <c r="HI100" s="55"/>
      <c r="HJ100" s="55"/>
      <c r="HK100" s="55"/>
      <c r="HL100" s="55"/>
      <c r="HM100" s="55"/>
      <c r="HN100" s="55"/>
    </row>
    <row r="101" spans="1:222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55"/>
      <c r="BB101" s="55"/>
      <c r="BC101" s="55"/>
      <c r="BD101" s="55"/>
      <c r="BE101" s="55"/>
      <c r="BF101" s="55"/>
      <c r="BG101" s="55"/>
      <c r="BH101" s="55"/>
      <c r="BI101" s="55"/>
      <c r="BJ101" s="55"/>
      <c r="BK101" s="55"/>
      <c r="BL101" s="55"/>
      <c r="BM101" s="55"/>
      <c r="BN101" s="55"/>
      <c r="BO101" s="55"/>
      <c r="BP101" s="55"/>
      <c r="BQ101" s="55"/>
      <c r="BR101" s="55"/>
      <c r="BS101" s="55"/>
      <c r="BT101" s="55"/>
      <c r="BU101" s="55"/>
      <c r="BV101" s="55"/>
      <c r="BW101" s="55"/>
      <c r="BX101" s="55"/>
      <c r="BY101" s="55"/>
      <c r="BZ101" s="55"/>
      <c r="CA101" s="55"/>
      <c r="CB101" s="55"/>
      <c r="CC101" s="55"/>
      <c r="CD101" s="55"/>
      <c r="CE101" s="55"/>
      <c r="CF101" s="55"/>
      <c r="CG101" s="55"/>
      <c r="CH101" s="55"/>
      <c r="CI101" s="55"/>
      <c r="CJ101" s="55"/>
      <c r="CK101" s="55"/>
      <c r="CL101" s="55"/>
      <c r="CM101" s="55"/>
      <c r="CN101" s="55"/>
      <c r="CO101" s="55"/>
      <c r="CP101" s="55"/>
      <c r="CQ101" s="55"/>
      <c r="CR101" s="55"/>
      <c r="CS101" s="55"/>
      <c r="CT101" s="55"/>
      <c r="CU101" s="55"/>
      <c r="CV101" s="55"/>
      <c r="CW101" s="55"/>
      <c r="CX101" s="55"/>
      <c r="CY101" s="55"/>
      <c r="CZ101" s="55"/>
      <c r="DA101" s="55"/>
      <c r="DB101" s="55"/>
      <c r="DC101" s="55"/>
      <c r="DD101" s="55"/>
      <c r="DE101" s="55"/>
      <c r="DF101" s="55"/>
      <c r="DG101" s="55"/>
      <c r="DH101" s="55"/>
      <c r="DI101" s="55"/>
      <c r="DJ101" s="55"/>
      <c r="DK101" s="55"/>
      <c r="DL101" s="55"/>
      <c r="DM101" s="55"/>
      <c r="DN101" s="55"/>
      <c r="DO101" s="55"/>
      <c r="DP101" s="55"/>
      <c r="DQ101" s="55"/>
      <c r="DR101" s="55"/>
      <c r="DS101" s="55"/>
      <c r="DT101" s="55"/>
      <c r="DU101" s="55"/>
      <c r="DV101" s="55"/>
      <c r="DW101" s="55"/>
      <c r="DX101" s="55"/>
      <c r="DY101" s="55"/>
      <c r="DZ101" s="55"/>
      <c r="EA101" s="55"/>
      <c r="EB101" s="55"/>
      <c r="EC101" s="55"/>
      <c r="ED101" s="55"/>
      <c r="EE101" s="55"/>
      <c r="EF101" s="55"/>
      <c r="EG101" s="55"/>
      <c r="EH101" s="55"/>
      <c r="EI101" s="55"/>
      <c r="EJ101" s="55"/>
      <c r="EK101" s="55"/>
      <c r="EL101" s="55"/>
      <c r="EM101" s="55"/>
      <c r="EN101" s="55"/>
      <c r="EO101" s="55"/>
      <c r="EP101" s="55"/>
      <c r="EQ101" s="55"/>
      <c r="ER101" s="55"/>
      <c r="ES101" s="55"/>
      <c r="ET101" s="55"/>
      <c r="EU101" s="55"/>
      <c r="EV101" s="55"/>
      <c r="EW101" s="55"/>
      <c r="EX101" s="55"/>
      <c r="EY101" s="55"/>
      <c r="EZ101" s="55"/>
      <c r="FA101" s="55"/>
      <c r="FB101" s="55"/>
      <c r="FC101" s="55"/>
      <c r="FD101" s="55"/>
      <c r="FE101" s="55"/>
      <c r="FF101" s="55"/>
      <c r="FG101" s="55"/>
      <c r="FH101" s="55"/>
      <c r="FI101" s="55"/>
      <c r="FJ101" s="55"/>
      <c r="FK101" s="55"/>
      <c r="FL101" s="55"/>
      <c r="FM101" s="55"/>
      <c r="FN101" s="55"/>
      <c r="FO101" s="55"/>
      <c r="FP101" s="55"/>
      <c r="FQ101" s="55"/>
      <c r="FR101" s="55"/>
      <c r="FS101" s="55"/>
      <c r="FT101" s="55"/>
      <c r="FU101" s="55"/>
      <c r="FV101" s="55"/>
      <c r="FW101" s="55"/>
      <c r="FX101" s="55"/>
      <c r="FY101" s="55"/>
      <c r="FZ101" s="55"/>
      <c r="GA101" s="55"/>
      <c r="GB101" s="55"/>
      <c r="GC101" s="55"/>
      <c r="GD101" s="55"/>
      <c r="GE101" s="55"/>
      <c r="GF101" s="55"/>
      <c r="GG101" s="55"/>
      <c r="GH101" s="55"/>
      <c r="GI101" s="55"/>
      <c r="GJ101" s="55"/>
      <c r="GK101" s="55"/>
      <c r="GL101" s="55"/>
      <c r="GM101" s="55"/>
      <c r="GN101" s="55"/>
      <c r="GO101" s="55"/>
      <c r="GP101" s="55"/>
      <c r="GQ101" s="55"/>
      <c r="GR101" s="55"/>
      <c r="GS101" s="55"/>
      <c r="GT101" s="55"/>
      <c r="GU101" s="55"/>
      <c r="GV101" s="55"/>
      <c r="GW101" s="55"/>
      <c r="GX101" s="55"/>
      <c r="GY101" s="55"/>
      <c r="GZ101" s="55"/>
      <c r="HA101" s="55"/>
      <c r="HB101" s="55"/>
      <c r="HC101" s="55"/>
      <c r="HD101" s="55"/>
      <c r="HE101" s="55"/>
      <c r="HF101" s="55"/>
      <c r="HG101" s="55"/>
      <c r="HH101" s="55"/>
      <c r="HI101" s="55"/>
      <c r="HJ101" s="55"/>
      <c r="HK101" s="55"/>
      <c r="HL101" s="55"/>
      <c r="HM101" s="55"/>
      <c r="HN101" s="55"/>
    </row>
    <row r="102" spans="1:222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  <c r="BB102" s="55"/>
      <c r="BC102" s="55"/>
      <c r="BD102" s="55"/>
      <c r="BE102" s="55"/>
      <c r="BF102" s="55"/>
      <c r="BG102" s="55"/>
      <c r="BH102" s="55"/>
      <c r="BI102" s="55"/>
      <c r="BJ102" s="55"/>
      <c r="BK102" s="55"/>
      <c r="BL102" s="55"/>
      <c r="BM102" s="55"/>
      <c r="BN102" s="55"/>
      <c r="BO102" s="55"/>
      <c r="BP102" s="55"/>
      <c r="BQ102" s="55"/>
      <c r="BR102" s="55"/>
      <c r="BS102" s="55"/>
      <c r="BT102" s="55"/>
      <c r="BU102" s="55"/>
      <c r="BV102" s="55"/>
      <c r="BW102" s="55"/>
      <c r="BX102" s="55"/>
      <c r="BY102" s="55"/>
      <c r="BZ102" s="55"/>
      <c r="CA102" s="55"/>
      <c r="CB102" s="55"/>
      <c r="CC102" s="55"/>
      <c r="CD102" s="55"/>
      <c r="CE102" s="55"/>
      <c r="CF102" s="55"/>
      <c r="CG102" s="55"/>
      <c r="CH102" s="55"/>
      <c r="CI102" s="55"/>
      <c r="CJ102" s="55"/>
      <c r="CK102" s="55"/>
      <c r="CL102" s="55"/>
      <c r="CM102" s="55"/>
      <c r="CN102" s="55"/>
      <c r="CO102" s="55"/>
      <c r="CP102" s="55"/>
      <c r="CQ102" s="55"/>
      <c r="CR102" s="55"/>
      <c r="CS102" s="55"/>
      <c r="CT102" s="55"/>
      <c r="CU102" s="55"/>
      <c r="CV102" s="55"/>
      <c r="CW102" s="55"/>
      <c r="CX102" s="55"/>
      <c r="CY102" s="55"/>
      <c r="CZ102" s="55"/>
      <c r="DA102" s="55"/>
      <c r="DB102" s="55"/>
      <c r="DC102" s="55"/>
      <c r="DD102" s="55"/>
      <c r="DE102" s="55"/>
      <c r="DF102" s="55"/>
      <c r="DG102" s="55"/>
      <c r="DH102" s="55"/>
      <c r="DI102" s="55"/>
      <c r="DJ102" s="55"/>
      <c r="DK102" s="55"/>
      <c r="DL102" s="55"/>
      <c r="DM102" s="55"/>
      <c r="DN102" s="55"/>
      <c r="DO102" s="55"/>
      <c r="DP102" s="55"/>
      <c r="DQ102" s="55"/>
      <c r="DR102" s="55"/>
      <c r="DS102" s="55"/>
      <c r="DT102" s="55"/>
      <c r="DU102" s="55"/>
      <c r="DV102" s="55"/>
      <c r="DW102" s="55"/>
      <c r="DX102" s="55"/>
      <c r="DY102" s="55"/>
      <c r="DZ102" s="55"/>
      <c r="EA102" s="55"/>
      <c r="EB102" s="55"/>
      <c r="EC102" s="55"/>
      <c r="ED102" s="55"/>
      <c r="EE102" s="55"/>
      <c r="EF102" s="55"/>
      <c r="EG102" s="55"/>
      <c r="EH102" s="55"/>
      <c r="EI102" s="55"/>
      <c r="EJ102" s="55"/>
      <c r="EK102" s="55"/>
      <c r="EL102" s="55"/>
      <c r="EM102" s="55"/>
      <c r="EN102" s="55"/>
      <c r="EO102" s="55"/>
      <c r="EP102" s="55"/>
      <c r="EQ102" s="55"/>
      <c r="ER102" s="55"/>
      <c r="ES102" s="55"/>
      <c r="ET102" s="55"/>
      <c r="EU102" s="55"/>
      <c r="EV102" s="55"/>
      <c r="EW102" s="55"/>
      <c r="EX102" s="55"/>
      <c r="EY102" s="55"/>
      <c r="EZ102" s="55"/>
      <c r="FA102" s="55"/>
      <c r="FB102" s="55"/>
      <c r="FC102" s="55"/>
      <c r="FD102" s="55"/>
      <c r="FE102" s="55"/>
      <c r="FF102" s="55"/>
      <c r="FG102" s="55"/>
      <c r="FH102" s="55"/>
      <c r="FI102" s="55"/>
      <c r="FJ102" s="55"/>
      <c r="FK102" s="55"/>
      <c r="FL102" s="55"/>
      <c r="FM102" s="55"/>
      <c r="FN102" s="55"/>
      <c r="FO102" s="55"/>
      <c r="FP102" s="55"/>
      <c r="FQ102" s="55"/>
      <c r="FR102" s="55"/>
      <c r="FS102" s="55"/>
      <c r="FT102" s="55"/>
      <c r="FU102" s="55"/>
      <c r="FV102" s="55"/>
      <c r="FW102" s="55"/>
      <c r="FX102" s="55"/>
      <c r="FY102" s="55"/>
      <c r="FZ102" s="55"/>
      <c r="GA102" s="55"/>
      <c r="GB102" s="55"/>
      <c r="GC102" s="55"/>
      <c r="GD102" s="55"/>
      <c r="GE102" s="55"/>
      <c r="GF102" s="55"/>
      <c r="GG102" s="55"/>
      <c r="GH102" s="55"/>
      <c r="GI102" s="55"/>
      <c r="GJ102" s="55"/>
      <c r="GK102" s="55"/>
      <c r="GL102" s="55"/>
      <c r="GM102" s="55"/>
      <c r="GN102" s="55"/>
      <c r="GO102" s="55"/>
      <c r="GP102" s="55"/>
      <c r="GQ102" s="55"/>
      <c r="GR102" s="55"/>
      <c r="GS102" s="55"/>
      <c r="GT102" s="55"/>
      <c r="GU102" s="55"/>
      <c r="GV102" s="55"/>
      <c r="GW102" s="55"/>
      <c r="GX102" s="55"/>
      <c r="GY102" s="55"/>
      <c r="GZ102" s="55"/>
      <c r="HA102" s="55"/>
      <c r="HB102" s="55"/>
      <c r="HC102" s="55"/>
      <c r="HD102" s="55"/>
      <c r="HE102" s="55"/>
      <c r="HF102" s="55"/>
      <c r="HG102" s="55"/>
      <c r="HH102" s="55"/>
      <c r="HI102" s="55"/>
      <c r="HJ102" s="55"/>
      <c r="HK102" s="55"/>
      <c r="HL102" s="55"/>
      <c r="HM102" s="55"/>
      <c r="HN102" s="55"/>
    </row>
    <row r="103" spans="1:222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  <c r="AZ103" s="55"/>
      <c r="BA103" s="55"/>
      <c r="BB103" s="55"/>
      <c r="BC103" s="55"/>
      <c r="BD103" s="55"/>
      <c r="BE103" s="55"/>
      <c r="BF103" s="55"/>
      <c r="BG103" s="55"/>
      <c r="BH103" s="55"/>
      <c r="BI103" s="55"/>
      <c r="BJ103" s="55"/>
      <c r="BK103" s="55"/>
      <c r="BL103" s="55"/>
      <c r="BM103" s="55"/>
      <c r="BN103" s="55"/>
      <c r="BO103" s="55"/>
      <c r="BP103" s="55"/>
      <c r="BQ103" s="55"/>
      <c r="BR103" s="55"/>
      <c r="BS103" s="55"/>
      <c r="BT103" s="55"/>
      <c r="BU103" s="55"/>
      <c r="BV103" s="55"/>
      <c r="BW103" s="55"/>
      <c r="BX103" s="55"/>
      <c r="BY103" s="55"/>
      <c r="BZ103" s="55"/>
      <c r="CA103" s="55"/>
      <c r="CB103" s="55"/>
      <c r="CC103" s="55"/>
      <c r="CD103" s="55"/>
      <c r="CE103" s="55"/>
      <c r="CF103" s="55"/>
      <c r="CG103" s="55"/>
      <c r="CH103" s="55"/>
      <c r="CI103" s="55"/>
      <c r="CJ103" s="55"/>
      <c r="CK103" s="55"/>
      <c r="CL103" s="55"/>
      <c r="CM103" s="55"/>
      <c r="CN103" s="55"/>
      <c r="CO103" s="55"/>
      <c r="CP103" s="55"/>
      <c r="CQ103" s="55"/>
      <c r="CR103" s="55"/>
      <c r="CS103" s="55"/>
      <c r="CT103" s="55"/>
      <c r="CU103" s="55"/>
      <c r="CV103" s="55"/>
      <c r="CW103" s="55"/>
      <c r="CX103" s="55"/>
      <c r="CY103" s="55"/>
      <c r="CZ103" s="55"/>
      <c r="DA103" s="55"/>
      <c r="DB103" s="55"/>
      <c r="DC103" s="55"/>
      <c r="DD103" s="55"/>
      <c r="DE103" s="55"/>
      <c r="DF103" s="55"/>
      <c r="DG103" s="55"/>
      <c r="DH103" s="55"/>
      <c r="DI103" s="55"/>
      <c r="DJ103" s="55"/>
      <c r="DK103" s="55"/>
      <c r="DL103" s="55"/>
      <c r="DM103" s="55"/>
      <c r="DN103" s="55"/>
      <c r="DO103" s="55"/>
      <c r="DP103" s="55"/>
      <c r="DQ103" s="55"/>
      <c r="DR103" s="55"/>
      <c r="DS103" s="55"/>
      <c r="DT103" s="55"/>
      <c r="DU103" s="55"/>
      <c r="DV103" s="55"/>
      <c r="DW103" s="55"/>
      <c r="DX103" s="55"/>
      <c r="DY103" s="55"/>
      <c r="DZ103" s="55"/>
      <c r="EA103" s="55"/>
      <c r="EB103" s="55"/>
      <c r="EC103" s="55"/>
      <c r="ED103" s="55"/>
      <c r="EE103" s="55"/>
      <c r="EF103" s="55"/>
      <c r="EG103" s="55"/>
      <c r="EH103" s="55"/>
      <c r="EI103" s="55"/>
      <c r="EJ103" s="55"/>
      <c r="EK103" s="55"/>
      <c r="EL103" s="55"/>
      <c r="EM103" s="55"/>
      <c r="EN103" s="55"/>
      <c r="EO103" s="55"/>
      <c r="EP103" s="55"/>
      <c r="EQ103" s="55"/>
      <c r="ER103" s="55"/>
      <c r="ES103" s="55"/>
      <c r="ET103" s="55"/>
      <c r="EU103" s="55"/>
      <c r="EV103" s="55"/>
      <c r="EW103" s="55"/>
      <c r="EX103" s="55"/>
      <c r="EY103" s="55"/>
      <c r="EZ103" s="55"/>
      <c r="FA103" s="55"/>
      <c r="FB103" s="55"/>
      <c r="FC103" s="55"/>
      <c r="FD103" s="55"/>
      <c r="FE103" s="55"/>
      <c r="FF103" s="55"/>
      <c r="FG103" s="55"/>
      <c r="FH103" s="55"/>
      <c r="FI103" s="55"/>
      <c r="FJ103" s="55"/>
      <c r="FK103" s="55"/>
      <c r="FL103" s="55"/>
      <c r="FM103" s="55"/>
      <c r="FN103" s="55"/>
      <c r="FO103" s="55"/>
      <c r="FP103" s="55"/>
      <c r="FQ103" s="55"/>
      <c r="FR103" s="55"/>
      <c r="FS103" s="55"/>
      <c r="FT103" s="55"/>
      <c r="FU103" s="55"/>
      <c r="FV103" s="55"/>
      <c r="FW103" s="55"/>
      <c r="FX103" s="55"/>
      <c r="FY103" s="55"/>
      <c r="FZ103" s="55"/>
      <c r="GA103" s="55"/>
      <c r="GB103" s="55"/>
      <c r="GC103" s="55"/>
      <c r="GD103" s="55"/>
      <c r="GE103" s="55"/>
      <c r="GF103" s="55"/>
      <c r="GG103" s="55"/>
      <c r="GH103" s="55"/>
      <c r="GI103" s="55"/>
      <c r="GJ103" s="55"/>
      <c r="GK103" s="55"/>
      <c r="GL103" s="55"/>
      <c r="GM103" s="55"/>
      <c r="GN103" s="55"/>
      <c r="GO103" s="55"/>
      <c r="GP103" s="55"/>
      <c r="GQ103" s="55"/>
      <c r="GR103" s="55"/>
      <c r="GS103" s="55"/>
      <c r="GT103" s="55"/>
      <c r="GU103" s="55"/>
      <c r="GV103" s="55"/>
      <c r="GW103" s="55"/>
      <c r="GX103" s="55"/>
      <c r="GY103" s="55"/>
      <c r="GZ103" s="55"/>
      <c r="HA103" s="55"/>
      <c r="HB103" s="55"/>
      <c r="HC103" s="55"/>
      <c r="HD103" s="55"/>
      <c r="HE103" s="55"/>
      <c r="HF103" s="55"/>
      <c r="HG103" s="55"/>
      <c r="HH103" s="55"/>
      <c r="HI103" s="55"/>
      <c r="HJ103" s="55"/>
      <c r="HK103" s="55"/>
      <c r="HL103" s="55"/>
      <c r="HM103" s="55"/>
      <c r="HN103" s="55"/>
    </row>
    <row r="104" spans="1:222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55"/>
      <c r="BC104" s="55"/>
      <c r="BD104" s="55"/>
      <c r="BE104" s="55"/>
      <c r="BF104" s="55"/>
      <c r="BG104" s="55"/>
      <c r="BH104" s="55"/>
      <c r="BI104" s="55"/>
      <c r="BJ104" s="55"/>
      <c r="BK104" s="55"/>
      <c r="BL104" s="55"/>
      <c r="BM104" s="55"/>
      <c r="BN104" s="55"/>
      <c r="BO104" s="55"/>
      <c r="BP104" s="55"/>
      <c r="BQ104" s="55"/>
      <c r="BR104" s="55"/>
      <c r="BS104" s="55"/>
      <c r="BT104" s="55"/>
      <c r="BU104" s="55"/>
      <c r="BV104" s="55"/>
      <c r="BW104" s="55"/>
      <c r="BX104" s="55"/>
      <c r="BY104" s="55"/>
      <c r="BZ104" s="55"/>
      <c r="CA104" s="55"/>
      <c r="CB104" s="55"/>
      <c r="CC104" s="55"/>
      <c r="CD104" s="55"/>
      <c r="CE104" s="55"/>
      <c r="CF104" s="55"/>
      <c r="CG104" s="55"/>
      <c r="CH104" s="55"/>
      <c r="CI104" s="55"/>
      <c r="CJ104" s="55"/>
      <c r="CK104" s="55"/>
      <c r="CL104" s="55"/>
      <c r="CM104" s="55"/>
      <c r="CN104" s="55"/>
      <c r="CO104" s="55"/>
      <c r="CP104" s="55"/>
      <c r="CQ104" s="55"/>
      <c r="CR104" s="55"/>
      <c r="CS104" s="55"/>
      <c r="CT104" s="55"/>
      <c r="CU104" s="55"/>
      <c r="CV104" s="55"/>
      <c r="CW104" s="55"/>
      <c r="CX104" s="55"/>
      <c r="CY104" s="55"/>
      <c r="CZ104" s="55"/>
      <c r="DA104" s="55"/>
      <c r="DB104" s="55"/>
      <c r="DC104" s="55"/>
      <c r="DD104" s="55"/>
      <c r="DE104" s="55"/>
      <c r="DF104" s="55"/>
      <c r="DG104" s="55"/>
      <c r="DH104" s="55"/>
      <c r="DI104" s="55"/>
      <c r="DJ104" s="55"/>
      <c r="DK104" s="55"/>
      <c r="DL104" s="55"/>
      <c r="DM104" s="55"/>
      <c r="DN104" s="55"/>
      <c r="DO104" s="55"/>
      <c r="DP104" s="55"/>
      <c r="DQ104" s="55"/>
      <c r="DR104" s="55"/>
      <c r="DS104" s="55"/>
      <c r="DT104" s="55"/>
      <c r="DU104" s="55"/>
      <c r="DV104" s="55"/>
      <c r="DW104" s="55"/>
      <c r="DX104" s="55"/>
      <c r="DY104" s="55"/>
      <c r="DZ104" s="55"/>
      <c r="EA104" s="55"/>
      <c r="EB104" s="55"/>
      <c r="EC104" s="55"/>
      <c r="ED104" s="55"/>
      <c r="EE104" s="55"/>
      <c r="EF104" s="55"/>
      <c r="EG104" s="55"/>
      <c r="EH104" s="55"/>
      <c r="EI104" s="55"/>
      <c r="EJ104" s="55"/>
      <c r="EK104" s="55"/>
      <c r="EL104" s="55"/>
      <c r="EM104" s="55"/>
      <c r="EN104" s="55"/>
      <c r="EO104" s="55"/>
      <c r="EP104" s="55"/>
      <c r="EQ104" s="55"/>
      <c r="ER104" s="55"/>
      <c r="ES104" s="55"/>
      <c r="ET104" s="55"/>
      <c r="EU104" s="55"/>
      <c r="EV104" s="55"/>
      <c r="EW104" s="55"/>
      <c r="EX104" s="55"/>
      <c r="EY104" s="55"/>
      <c r="EZ104" s="55"/>
      <c r="FA104" s="55"/>
      <c r="FB104" s="55"/>
      <c r="FC104" s="55"/>
      <c r="FD104" s="55"/>
      <c r="FE104" s="55"/>
      <c r="FF104" s="55"/>
      <c r="FG104" s="55"/>
      <c r="FH104" s="55"/>
      <c r="FI104" s="55"/>
      <c r="FJ104" s="55"/>
      <c r="FK104" s="55"/>
      <c r="FL104" s="55"/>
      <c r="FM104" s="55"/>
      <c r="FN104" s="55"/>
      <c r="FO104" s="55"/>
      <c r="FP104" s="55"/>
      <c r="FQ104" s="55"/>
      <c r="FR104" s="55"/>
      <c r="FS104" s="55"/>
      <c r="FT104" s="55"/>
      <c r="FU104" s="55"/>
      <c r="FV104" s="55"/>
      <c r="FW104" s="55"/>
      <c r="FX104" s="55"/>
      <c r="FY104" s="55"/>
      <c r="FZ104" s="55"/>
      <c r="GA104" s="55"/>
      <c r="GB104" s="55"/>
      <c r="GC104" s="55"/>
      <c r="GD104" s="55"/>
      <c r="GE104" s="55"/>
      <c r="GF104" s="55"/>
      <c r="GG104" s="55"/>
      <c r="GH104" s="55"/>
      <c r="GI104" s="55"/>
      <c r="GJ104" s="55"/>
      <c r="GK104" s="55"/>
      <c r="GL104" s="55"/>
      <c r="GM104" s="55"/>
      <c r="GN104" s="55"/>
      <c r="GO104" s="55"/>
      <c r="GP104" s="55"/>
      <c r="GQ104" s="55"/>
      <c r="GR104" s="55"/>
      <c r="GS104" s="55"/>
      <c r="GT104" s="55"/>
      <c r="GU104" s="55"/>
      <c r="GV104" s="55"/>
      <c r="GW104" s="55"/>
      <c r="GX104" s="55"/>
      <c r="GY104" s="55"/>
      <c r="GZ104" s="55"/>
      <c r="HA104" s="55"/>
      <c r="HB104" s="55"/>
      <c r="HC104" s="55"/>
      <c r="HD104" s="55"/>
      <c r="HE104" s="55"/>
      <c r="HF104" s="55"/>
      <c r="HG104" s="55"/>
      <c r="HH104" s="55"/>
      <c r="HI104" s="55"/>
      <c r="HJ104" s="55"/>
      <c r="HK104" s="55"/>
      <c r="HL104" s="55"/>
      <c r="HM104" s="55"/>
      <c r="HN104" s="55"/>
    </row>
    <row r="105" spans="1:222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  <c r="BD105" s="55"/>
      <c r="BE105" s="55"/>
      <c r="BF105" s="55"/>
      <c r="BG105" s="55"/>
      <c r="BH105" s="55"/>
      <c r="BI105" s="55"/>
      <c r="BJ105" s="55"/>
      <c r="BK105" s="55"/>
      <c r="BL105" s="55"/>
      <c r="BM105" s="55"/>
      <c r="BN105" s="55"/>
      <c r="BO105" s="55"/>
      <c r="BP105" s="55"/>
      <c r="BQ105" s="55"/>
      <c r="BR105" s="55"/>
      <c r="BS105" s="55"/>
      <c r="BT105" s="55"/>
      <c r="BU105" s="55"/>
      <c r="BV105" s="55"/>
      <c r="BW105" s="55"/>
      <c r="BX105" s="55"/>
      <c r="BY105" s="55"/>
      <c r="BZ105" s="55"/>
      <c r="CA105" s="55"/>
      <c r="CB105" s="55"/>
      <c r="CC105" s="55"/>
      <c r="CD105" s="55"/>
      <c r="CE105" s="55"/>
      <c r="CF105" s="55"/>
      <c r="CG105" s="55"/>
      <c r="CH105" s="55"/>
      <c r="CI105" s="55"/>
      <c r="CJ105" s="55"/>
      <c r="CK105" s="55"/>
      <c r="CL105" s="55"/>
      <c r="CM105" s="55"/>
      <c r="CN105" s="55"/>
      <c r="CO105" s="55"/>
      <c r="CP105" s="55"/>
      <c r="CQ105" s="55"/>
      <c r="CR105" s="55"/>
      <c r="CS105" s="55"/>
      <c r="CT105" s="55"/>
      <c r="CU105" s="55"/>
      <c r="CV105" s="55"/>
      <c r="CW105" s="55"/>
      <c r="CX105" s="55"/>
      <c r="CY105" s="55"/>
      <c r="CZ105" s="55"/>
      <c r="DA105" s="55"/>
      <c r="DB105" s="55"/>
      <c r="DC105" s="55"/>
      <c r="DD105" s="55"/>
      <c r="DE105" s="55"/>
      <c r="DF105" s="55"/>
      <c r="DG105" s="55"/>
      <c r="DH105" s="55"/>
      <c r="DI105" s="55"/>
      <c r="DJ105" s="55"/>
      <c r="DK105" s="55"/>
      <c r="DL105" s="55"/>
      <c r="DM105" s="55"/>
      <c r="DN105" s="55"/>
      <c r="DO105" s="55"/>
      <c r="DP105" s="55"/>
      <c r="DQ105" s="55"/>
      <c r="DR105" s="55"/>
      <c r="DS105" s="55"/>
      <c r="DT105" s="55"/>
      <c r="DU105" s="55"/>
      <c r="DV105" s="55"/>
      <c r="DW105" s="55"/>
      <c r="DX105" s="55"/>
      <c r="DY105" s="55"/>
      <c r="DZ105" s="55"/>
      <c r="EA105" s="55"/>
      <c r="EB105" s="55"/>
      <c r="EC105" s="55"/>
      <c r="ED105" s="55"/>
      <c r="EE105" s="55"/>
      <c r="EF105" s="55"/>
      <c r="EG105" s="55"/>
      <c r="EH105" s="55"/>
      <c r="EI105" s="55"/>
      <c r="EJ105" s="55"/>
      <c r="EK105" s="55"/>
      <c r="EL105" s="55"/>
      <c r="EM105" s="55"/>
      <c r="EN105" s="55"/>
      <c r="EO105" s="55"/>
      <c r="EP105" s="55"/>
      <c r="EQ105" s="55"/>
      <c r="ER105" s="55"/>
      <c r="ES105" s="55"/>
      <c r="ET105" s="55"/>
      <c r="EU105" s="55"/>
      <c r="EV105" s="55"/>
      <c r="EW105" s="55"/>
      <c r="EX105" s="55"/>
      <c r="EY105" s="55"/>
      <c r="EZ105" s="55"/>
      <c r="FA105" s="55"/>
      <c r="FB105" s="55"/>
      <c r="FC105" s="55"/>
      <c r="FD105" s="55"/>
      <c r="FE105" s="55"/>
      <c r="FF105" s="55"/>
      <c r="FG105" s="55"/>
      <c r="FH105" s="55"/>
      <c r="FI105" s="55"/>
      <c r="FJ105" s="55"/>
      <c r="FK105" s="55"/>
      <c r="FL105" s="55"/>
      <c r="FM105" s="55"/>
      <c r="FN105" s="55"/>
      <c r="FO105" s="55"/>
      <c r="FP105" s="55"/>
      <c r="FQ105" s="55"/>
      <c r="FR105" s="55"/>
      <c r="FS105" s="55"/>
      <c r="FT105" s="55"/>
      <c r="FU105" s="55"/>
      <c r="FV105" s="55"/>
      <c r="FW105" s="55"/>
      <c r="FX105" s="55"/>
      <c r="FY105" s="55"/>
      <c r="FZ105" s="55"/>
      <c r="GA105" s="55"/>
      <c r="GB105" s="55"/>
      <c r="GC105" s="55"/>
      <c r="GD105" s="55"/>
      <c r="GE105" s="55"/>
      <c r="GF105" s="55"/>
      <c r="GG105" s="55"/>
      <c r="GH105" s="55"/>
      <c r="GI105" s="55"/>
      <c r="GJ105" s="55"/>
      <c r="GK105" s="55"/>
      <c r="GL105" s="55"/>
      <c r="GM105" s="55"/>
      <c r="GN105" s="55"/>
      <c r="GO105" s="55"/>
      <c r="GP105" s="55"/>
      <c r="GQ105" s="55"/>
      <c r="GR105" s="55"/>
      <c r="GS105" s="55"/>
      <c r="GT105" s="55"/>
      <c r="GU105" s="55"/>
      <c r="GV105" s="55"/>
      <c r="GW105" s="55"/>
      <c r="GX105" s="55"/>
      <c r="GY105" s="55"/>
      <c r="GZ105" s="55"/>
      <c r="HA105" s="55"/>
      <c r="HB105" s="55"/>
      <c r="HC105" s="55"/>
      <c r="HD105" s="55"/>
      <c r="HE105" s="55"/>
      <c r="HF105" s="55"/>
      <c r="HG105" s="55"/>
      <c r="HH105" s="55"/>
      <c r="HI105" s="55"/>
      <c r="HJ105" s="55"/>
      <c r="HK105" s="55"/>
      <c r="HL105" s="55"/>
      <c r="HM105" s="55"/>
      <c r="HN105" s="55"/>
    </row>
    <row r="106" spans="1:222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  <c r="BB106" s="55"/>
      <c r="BC106" s="55"/>
      <c r="BD106" s="55"/>
      <c r="BE106" s="55"/>
      <c r="BF106" s="55"/>
      <c r="BG106" s="55"/>
      <c r="BH106" s="55"/>
      <c r="BI106" s="55"/>
      <c r="BJ106" s="55"/>
      <c r="BK106" s="55"/>
      <c r="BL106" s="55"/>
      <c r="BM106" s="55"/>
      <c r="BN106" s="55"/>
      <c r="BO106" s="55"/>
      <c r="BP106" s="55"/>
      <c r="BQ106" s="55"/>
      <c r="BR106" s="55"/>
      <c r="BS106" s="55"/>
      <c r="BT106" s="55"/>
      <c r="BU106" s="55"/>
      <c r="BV106" s="55"/>
      <c r="BW106" s="55"/>
      <c r="BX106" s="55"/>
      <c r="BY106" s="55"/>
      <c r="BZ106" s="55"/>
      <c r="CA106" s="55"/>
      <c r="CB106" s="55"/>
      <c r="CC106" s="55"/>
      <c r="CD106" s="55"/>
      <c r="CE106" s="55"/>
      <c r="CF106" s="55"/>
      <c r="CG106" s="55"/>
      <c r="CH106" s="55"/>
      <c r="CI106" s="55"/>
      <c r="CJ106" s="55"/>
      <c r="CK106" s="55"/>
      <c r="CL106" s="55"/>
      <c r="CM106" s="55"/>
      <c r="CN106" s="55"/>
      <c r="CO106" s="55"/>
      <c r="CP106" s="55"/>
      <c r="CQ106" s="55"/>
      <c r="CR106" s="55"/>
      <c r="CS106" s="55"/>
      <c r="CT106" s="55"/>
      <c r="CU106" s="55"/>
      <c r="CV106" s="55"/>
      <c r="CW106" s="55"/>
      <c r="CX106" s="55"/>
      <c r="CY106" s="55"/>
      <c r="CZ106" s="55"/>
      <c r="DA106" s="55"/>
      <c r="DB106" s="55"/>
      <c r="DC106" s="55"/>
      <c r="DD106" s="55"/>
      <c r="DE106" s="55"/>
      <c r="DF106" s="55"/>
      <c r="DG106" s="55"/>
      <c r="DH106" s="55"/>
      <c r="DI106" s="55"/>
      <c r="DJ106" s="55"/>
      <c r="DK106" s="55"/>
      <c r="DL106" s="55"/>
      <c r="DM106" s="55"/>
      <c r="DN106" s="55"/>
      <c r="DO106" s="55"/>
      <c r="DP106" s="55"/>
      <c r="DQ106" s="55"/>
      <c r="DR106" s="55"/>
      <c r="DS106" s="55"/>
      <c r="DT106" s="55"/>
      <c r="DU106" s="55"/>
      <c r="DV106" s="55"/>
      <c r="DW106" s="55"/>
      <c r="DX106" s="55"/>
      <c r="DY106" s="55"/>
      <c r="DZ106" s="55"/>
      <c r="EA106" s="55"/>
      <c r="EB106" s="55"/>
      <c r="EC106" s="55"/>
      <c r="ED106" s="55"/>
      <c r="EE106" s="55"/>
      <c r="EF106" s="55"/>
      <c r="EG106" s="55"/>
      <c r="EH106" s="55"/>
      <c r="EI106" s="55"/>
      <c r="EJ106" s="55"/>
      <c r="EK106" s="55"/>
      <c r="EL106" s="55"/>
      <c r="EM106" s="55"/>
      <c r="EN106" s="55"/>
      <c r="EO106" s="55"/>
      <c r="EP106" s="55"/>
      <c r="EQ106" s="55"/>
      <c r="ER106" s="55"/>
      <c r="ES106" s="55"/>
      <c r="ET106" s="55"/>
      <c r="EU106" s="55"/>
      <c r="EV106" s="55"/>
      <c r="EW106" s="55"/>
      <c r="EX106" s="55"/>
      <c r="EY106" s="55"/>
      <c r="EZ106" s="55"/>
      <c r="FA106" s="55"/>
      <c r="FB106" s="55"/>
      <c r="FC106" s="55"/>
      <c r="FD106" s="55"/>
      <c r="FE106" s="55"/>
      <c r="FF106" s="55"/>
      <c r="FG106" s="55"/>
      <c r="FH106" s="55"/>
      <c r="FI106" s="55"/>
      <c r="FJ106" s="55"/>
      <c r="FK106" s="55"/>
      <c r="FL106" s="55"/>
      <c r="FM106" s="55"/>
      <c r="FN106" s="55"/>
      <c r="FO106" s="55"/>
      <c r="FP106" s="55"/>
      <c r="FQ106" s="55"/>
      <c r="FR106" s="55"/>
      <c r="FS106" s="55"/>
      <c r="FT106" s="55"/>
      <c r="FU106" s="55"/>
      <c r="FV106" s="55"/>
      <c r="FW106" s="55"/>
      <c r="FX106" s="55"/>
      <c r="FY106" s="55"/>
      <c r="FZ106" s="55"/>
      <c r="GA106" s="55"/>
      <c r="GB106" s="55"/>
      <c r="GC106" s="55"/>
      <c r="GD106" s="55"/>
      <c r="GE106" s="55"/>
      <c r="GF106" s="55"/>
      <c r="GG106" s="55"/>
      <c r="GH106" s="55"/>
      <c r="GI106" s="55"/>
      <c r="GJ106" s="55"/>
      <c r="GK106" s="55"/>
      <c r="GL106" s="55"/>
      <c r="GM106" s="55"/>
      <c r="GN106" s="55"/>
      <c r="GO106" s="55"/>
      <c r="GP106" s="55"/>
      <c r="GQ106" s="55"/>
      <c r="GR106" s="55"/>
      <c r="GS106" s="55"/>
      <c r="GT106" s="55"/>
      <c r="GU106" s="55"/>
      <c r="GV106" s="55"/>
      <c r="GW106" s="55"/>
      <c r="GX106" s="55"/>
      <c r="GY106" s="55"/>
      <c r="GZ106" s="55"/>
      <c r="HA106" s="55"/>
      <c r="HB106" s="55"/>
      <c r="HC106" s="55"/>
      <c r="HD106" s="55"/>
      <c r="HE106" s="55"/>
      <c r="HF106" s="55"/>
      <c r="HG106" s="55"/>
      <c r="HH106" s="55"/>
      <c r="HI106" s="55"/>
      <c r="HJ106" s="55"/>
      <c r="HK106" s="55"/>
      <c r="HL106" s="55"/>
      <c r="HM106" s="55"/>
      <c r="HN106" s="55"/>
    </row>
    <row r="107" spans="1:222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5"/>
      <c r="BD107" s="55"/>
      <c r="BE107" s="55"/>
      <c r="BF107" s="55"/>
      <c r="BG107" s="55"/>
      <c r="BH107" s="55"/>
      <c r="BI107" s="55"/>
      <c r="BJ107" s="55"/>
      <c r="BK107" s="55"/>
      <c r="BL107" s="55"/>
      <c r="BM107" s="55"/>
      <c r="BN107" s="55"/>
      <c r="BO107" s="55"/>
      <c r="BP107" s="55"/>
      <c r="BQ107" s="55"/>
      <c r="BR107" s="55"/>
      <c r="BS107" s="55"/>
      <c r="BT107" s="55"/>
      <c r="BU107" s="55"/>
      <c r="BV107" s="55"/>
      <c r="BW107" s="55"/>
      <c r="BX107" s="55"/>
      <c r="BY107" s="55"/>
      <c r="BZ107" s="55"/>
      <c r="CA107" s="55"/>
      <c r="CB107" s="55"/>
      <c r="CC107" s="55"/>
      <c r="CD107" s="55"/>
      <c r="CE107" s="55"/>
      <c r="CF107" s="55"/>
      <c r="CG107" s="55"/>
      <c r="CH107" s="55"/>
      <c r="CI107" s="55"/>
      <c r="CJ107" s="55"/>
      <c r="CK107" s="55"/>
      <c r="CL107" s="55"/>
      <c r="CM107" s="55"/>
      <c r="CN107" s="55"/>
      <c r="CO107" s="55"/>
      <c r="CP107" s="55"/>
      <c r="CQ107" s="55"/>
      <c r="CR107" s="55"/>
      <c r="CS107" s="55"/>
      <c r="CT107" s="55"/>
      <c r="CU107" s="55"/>
      <c r="CV107" s="55"/>
      <c r="CW107" s="55"/>
      <c r="CX107" s="55"/>
      <c r="CY107" s="55"/>
      <c r="CZ107" s="55"/>
      <c r="DA107" s="55"/>
      <c r="DB107" s="55"/>
      <c r="DC107" s="55"/>
      <c r="DD107" s="55"/>
      <c r="DE107" s="55"/>
      <c r="DF107" s="55"/>
      <c r="DG107" s="55"/>
      <c r="DH107" s="55"/>
      <c r="DI107" s="55"/>
      <c r="DJ107" s="55"/>
      <c r="DK107" s="55"/>
      <c r="DL107" s="55"/>
      <c r="DM107" s="55"/>
      <c r="DN107" s="55"/>
      <c r="DO107" s="55"/>
      <c r="DP107" s="55"/>
      <c r="DQ107" s="55"/>
      <c r="DR107" s="55"/>
      <c r="DS107" s="55"/>
      <c r="DT107" s="55"/>
      <c r="DU107" s="55"/>
      <c r="DV107" s="55"/>
      <c r="DW107" s="55"/>
      <c r="DX107" s="55"/>
      <c r="DY107" s="55"/>
      <c r="DZ107" s="55"/>
      <c r="EA107" s="55"/>
      <c r="EB107" s="55"/>
      <c r="EC107" s="55"/>
      <c r="ED107" s="55"/>
      <c r="EE107" s="55"/>
      <c r="EF107" s="55"/>
      <c r="EG107" s="55"/>
      <c r="EH107" s="55"/>
      <c r="EI107" s="55"/>
      <c r="EJ107" s="55"/>
      <c r="EK107" s="55"/>
      <c r="EL107" s="55"/>
      <c r="EM107" s="55"/>
      <c r="EN107" s="55"/>
      <c r="EO107" s="55"/>
      <c r="EP107" s="55"/>
      <c r="EQ107" s="55"/>
      <c r="ER107" s="55"/>
      <c r="ES107" s="55"/>
      <c r="ET107" s="55"/>
      <c r="EU107" s="55"/>
      <c r="EV107" s="55"/>
      <c r="EW107" s="55"/>
      <c r="EX107" s="55"/>
      <c r="EY107" s="55"/>
      <c r="EZ107" s="55"/>
      <c r="FA107" s="55"/>
      <c r="FB107" s="55"/>
      <c r="FC107" s="55"/>
      <c r="FD107" s="55"/>
      <c r="FE107" s="55"/>
      <c r="FF107" s="55"/>
      <c r="FG107" s="55"/>
      <c r="FH107" s="55"/>
      <c r="FI107" s="55"/>
      <c r="FJ107" s="55"/>
      <c r="FK107" s="55"/>
      <c r="FL107" s="55"/>
      <c r="FM107" s="55"/>
      <c r="FN107" s="55"/>
      <c r="FO107" s="55"/>
      <c r="FP107" s="55"/>
      <c r="FQ107" s="55"/>
      <c r="FR107" s="55"/>
      <c r="FS107" s="55"/>
      <c r="FT107" s="55"/>
      <c r="FU107" s="55"/>
      <c r="FV107" s="55"/>
      <c r="FW107" s="55"/>
      <c r="FX107" s="55"/>
      <c r="FY107" s="55"/>
      <c r="FZ107" s="55"/>
      <c r="GA107" s="55"/>
      <c r="GB107" s="55"/>
      <c r="GC107" s="55"/>
      <c r="GD107" s="55"/>
      <c r="GE107" s="55"/>
      <c r="GF107" s="55"/>
      <c r="GG107" s="55"/>
      <c r="GH107" s="55"/>
      <c r="GI107" s="55"/>
      <c r="GJ107" s="55"/>
      <c r="GK107" s="55"/>
      <c r="GL107" s="55"/>
      <c r="GM107" s="55"/>
      <c r="GN107" s="55"/>
      <c r="GO107" s="55"/>
      <c r="GP107" s="55"/>
      <c r="GQ107" s="55"/>
      <c r="GR107" s="55"/>
      <c r="GS107" s="55"/>
      <c r="GT107" s="55"/>
      <c r="GU107" s="55"/>
      <c r="GV107" s="55"/>
      <c r="GW107" s="55"/>
      <c r="GX107" s="55"/>
      <c r="GY107" s="55"/>
      <c r="GZ107" s="55"/>
      <c r="HA107" s="55"/>
      <c r="HB107" s="55"/>
      <c r="HC107" s="55"/>
      <c r="HD107" s="55"/>
      <c r="HE107" s="55"/>
      <c r="HF107" s="55"/>
      <c r="HG107" s="55"/>
      <c r="HH107" s="55"/>
      <c r="HI107" s="55"/>
      <c r="HJ107" s="55"/>
      <c r="HK107" s="55"/>
      <c r="HL107" s="55"/>
      <c r="HM107" s="55"/>
      <c r="HN107" s="55"/>
    </row>
    <row r="108" spans="1:222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55"/>
      <c r="BB108" s="55"/>
      <c r="BC108" s="55"/>
      <c r="BD108" s="55"/>
      <c r="BE108" s="55"/>
      <c r="BF108" s="55"/>
      <c r="BG108" s="55"/>
      <c r="BH108" s="55"/>
      <c r="BI108" s="55"/>
      <c r="BJ108" s="55"/>
      <c r="BK108" s="55"/>
      <c r="BL108" s="55"/>
      <c r="BM108" s="55"/>
      <c r="BN108" s="55"/>
      <c r="BO108" s="55"/>
      <c r="BP108" s="55"/>
      <c r="BQ108" s="55"/>
      <c r="BR108" s="55"/>
      <c r="BS108" s="55"/>
      <c r="BT108" s="55"/>
      <c r="BU108" s="55"/>
      <c r="BV108" s="55"/>
      <c r="BW108" s="55"/>
      <c r="BX108" s="55"/>
      <c r="BY108" s="55"/>
      <c r="BZ108" s="55"/>
      <c r="CA108" s="55"/>
      <c r="CB108" s="55"/>
      <c r="CC108" s="55"/>
      <c r="CD108" s="55"/>
      <c r="CE108" s="55"/>
      <c r="CF108" s="55"/>
      <c r="CG108" s="55"/>
      <c r="CH108" s="55"/>
      <c r="CI108" s="55"/>
      <c r="CJ108" s="55"/>
      <c r="CK108" s="55"/>
      <c r="CL108" s="55"/>
      <c r="CM108" s="55"/>
      <c r="CN108" s="55"/>
      <c r="CO108" s="55"/>
      <c r="CP108" s="55"/>
      <c r="CQ108" s="55"/>
      <c r="CR108" s="55"/>
      <c r="CS108" s="55"/>
      <c r="CT108" s="55"/>
      <c r="CU108" s="55"/>
      <c r="CV108" s="55"/>
      <c r="CW108" s="55"/>
      <c r="CX108" s="55"/>
      <c r="CY108" s="55"/>
      <c r="CZ108" s="55"/>
      <c r="DA108" s="55"/>
      <c r="DB108" s="55"/>
      <c r="DC108" s="55"/>
      <c r="DD108" s="55"/>
      <c r="DE108" s="55"/>
      <c r="DF108" s="55"/>
      <c r="DG108" s="55"/>
      <c r="DH108" s="55"/>
      <c r="DI108" s="55"/>
      <c r="DJ108" s="55"/>
      <c r="DK108" s="55"/>
      <c r="DL108" s="55"/>
      <c r="DM108" s="55"/>
      <c r="DN108" s="55"/>
      <c r="DO108" s="55"/>
      <c r="DP108" s="55"/>
      <c r="DQ108" s="55"/>
      <c r="DR108" s="55"/>
      <c r="DS108" s="55"/>
      <c r="DT108" s="55"/>
      <c r="DU108" s="55"/>
      <c r="DV108" s="55"/>
      <c r="DW108" s="55"/>
      <c r="DX108" s="55"/>
      <c r="DY108" s="55"/>
      <c r="DZ108" s="55"/>
      <c r="EA108" s="55"/>
      <c r="EB108" s="55"/>
      <c r="EC108" s="55"/>
      <c r="ED108" s="55"/>
      <c r="EE108" s="55"/>
      <c r="EF108" s="55"/>
      <c r="EG108" s="55"/>
      <c r="EH108" s="55"/>
      <c r="EI108" s="55"/>
      <c r="EJ108" s="55"/>
      <c r="EK108" s="55"/>
      <c r="EL108" s="55"/>
      <c r="EM108" s="55"/>
      <c r="EN108" s="55"/>
      <c r="EO108" s="55"/>
      <c r="EP108" s="55"/>
      <c r="EQ108" s="55"/>
      <c r="ER108" s="55"/>
      <c r="ES108" s="55"/>
      <c r="ET108" s="55"/>
      <c r="EU108" s="55"/>
      <c r="EV108" s="55"/>
      <c r="EW108" s="55"/>
      <c r="EX108" s="55"/>
      <c r="EY108" s="55"/>
      <c r="EZ108" s="55"/>
      <c r="FA108" s="55"/>
      <c r="FB108" s="55"/>
      <c r="FC108" s="55"/>
      <c r="FD108" s="55"/>
      <c r="FE108" s="55"/>
      <c r="FF108" s="55"/>
      <c r="FG108" s="55"/>
      <c r="FH108" s="55"/>
      <c r="FI108" s="55"/>
      <c r="FJ108" s="55"/>
      <c r="FK108" s="55"/>
      <c r="FL108" s="55"/>
      <c r="FM108" s="55"/>
      <c r="FN108" s="55"/>
      <c r="FO108" s="55"/>
      <c r="FP108" s="55"/>
      <c r="FQ108" s="55"/>
      <c r="FR108" s="55"/>
      <c r="FS108" s="55"/>
      <c r="FT108" s="55"/>
      <c r="FU108" s="55"/>
      <c r="FV108" s="55"/>
      <c r="FW108" s="55"/>
      <c r="FX108" s="55"/>
      <c r="FY108" s="55"/>
      <c r="FZ108" s="55"/>
      <c r="GA108" s="55"/>
      <c r="GB108" s="55"/>
      <c r="GC108" s="55"/>
      <c r="GD108" s="55"/>
      <c r="GE108" s="55"/>
      <c r="GF108" s="55"/>
      <c r="GG108" s="55"/>
      <c r="GH108" s="55"/>
      <c r="GI108" s="55"/>
      <c r="GJ108" s="55"/>
      <c r="GK108" s="55"/>
      <c r="GL108" s="55"/>
      <c r="GM108" s="55"/>
      <c r="GN108" s="55"/>
      <c r="GO108" s="55"/>
      <c r="GP108" s="55"/>
      <c r="GQ108" s="55"/>
      <c r="GR108" s="55"/>
      <c r="GS108" s="55"/>
      <c r="GT108" s="55"/>
      <c r="GU108" s="55"/>
      <c r="GV108" s="55"/>
      <c r="GW108" s="55"/>
      <c r="GX108" s="55"/>
      <c r="GY108" s="55"/>
      <c r="GZ108" s="55"/>
      <c r="HA108" s="55"/>
      <c r="HB108" s="55"/>
      <c r="HC108" s="55"/>
      <c r="HD108" s="55"/>
      <c r="HE108" s="55"/>
      <c r="HF108" s="55"/>
      <c r="HG108" s="55"/>
      <c r="HH108" s="55"/>
      <c r="HI108" s="55"/>
      <c r="HJ108" s="55"/>
      <c r="HK108" s="55"/>
      <c r="HL108" s="55"/>
      <c r="HM108" s="55"/>
      <c r="HN108" s="55"/>
    </row>
    <row r="109" spans="1:222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/>
      <c r="BB109" s="55"/>
      <c r="BC109" s="55"/>
      <c r="BD109" s="55"/>
      <c r="BE109" s="55"/>
      <c r="BF109" s="55"/>
      <c r="BG109" s="55"/>
      <c r="BH109" s="55"/>
      <c r="BI109" s="55"/>
      <c r="BJ109" s="55"/>
      <c r="BK109" s="55"/>
      <c r="BL109" s="55"/>
      <c r="BM109" s="55"/>
      <c r="BN109" s="55"/>
      <c r="BO109" s="55"/>
      <c r="BP109" s="55"/>
      <c r="BQ109" s="55"/>
      <c r="BR109" s="55"/>
      <c r="BS109" s="55"/>
      <c r="BT109" s="55"/>
      <c r="BU109" s="55"/>
      <c r="BV109" s="55"/>
      <c r="BW109" s="55"/>
      <c r="BX109" s="55"/>
      <c r="BY109" s="55"/>
      <c r="BZ109" s="55"/>
      <c r="CA109" s="55"/>
      <c r="CB109" s="55"/>
      <c r="CC109" s="55"/>
      <c r="CD109" s="55"/>
      <c r="CE109" s="55"/>
      <c r="CF109" s="55"/>
      <c r="CG109" s="55"/>
      <c r="CH109" s="55"/>
      <c r="CI109" s="55"/>
      <c r="CJ109" s="55"/>
      <c r="CK109" s="55"/>
      <c r="CL109" s="55"/>
      <c r="CM109" s="55"/>
      <c r="CN109" s="55"/>
      <c r="CO109" s="55"/>
      <c r="CP109" s="55"/>
      <c r="CQ109" s="55"/>
      <c r="CR109" s="55"/>
      <c r="CS109" s="55"/>
      <c r="CT109" s="55"/>
      <c r="CU109" s="55"/>
      <c r="CV109" s="55"/>
      <c r="CW109" s="55"/>
      <c r="CX109" s="55"/>
      <c r="CY109" s="55"/>
      <c r="CZ109" s="55"/>
      <c r="DA109" s="55"/>
      <c r="DB109" s="55"/>
      <c r="DC109" s="55"/>
      <c r="DD109" s="55"/>
      <c r="DE109" s="55"/>
      <c r="DF109" s="55"/>
      <c r="DG109" s="55"/>
      <c r="DH109" s="55"/>
      <c r="DI109" s="55"/>
      <c r="DJ109" s="55"/>
      <c r="DK109" s="55"/>
      <c r="DL109" s="55"/>
      <c r="DM109" s="55"/>
      <c r="DN109" s="55"/>
      <c r="DO109" s="55"/>
      <c r="DP109" s="55"/>
      <c r="DQ109" s="55"/>
      <c r="DR109" s="55"/>
      <c r="DS109" s="55"/>
      <c r="DT109" s="55"/>
      <c r="DU109" s="55"/>
      <c r="DV109" s="55"/>
      <c r="DW109" s="55"/>
      <c r="DX109" s="55"/>
      <c r="DY109" s="55"/>
      <c r="DZ109" s="55"/>
      <c r="EA109" s="55"/>
      <c r="EB109" s="55"/>
      <c r="EC109" s="55"/>
      <c r="ED109" s="55"/>
      <c r="EE109" s="55"/>
      <c r="EF109" s="55"/>
      <c r="EG109" s="55"/>
      <c r="EH109" s="55"/>
      <c r="EI109" s="55"/>
      <c r="EJ109" s="55"/>
      <c r="EK109" s="55"/>
      <c r="EL109" s="55"/>
      <c r="EM109" s="55"/>
      <c r="EN109" s="55"/>
      <c r="EO109" s="55"/>
      <c r="EP109" s="55"/>
      <c r="EQ109" s="55"/>
      <c r="ER109" s="55"/>
      <c r="ES109" s="55"/>
      <c r="ET109" s="55"/>
      <c r="EU109" s="55"/>
      <c r="EV109" s="55"/>
      <c r="EW109" s="55"/>
      <c r="EX109" s="55"/>
      <c r="EY109" s="55"/>
      <c r="EZ109" s="55"/>
      <c r="FA109" s="55"/>
      <c r="FB109" s="55"/>
      <c r="FC109" s="55"/>
      <c r="FD109" s="55"/>
      <c r="FE109" s="55"/>
      <c r="FF109" s="55"/>
      <c r="FG109" s="55"/>
      <c r="FH109" s="55"/>
      <c r="FI109" s="55"/>
      <c r="FJ109" s="55"/>
      <c r="FK109" s="55"/>
      <c r="FL109" s="55"/>
      <c r="FM109" s="55"/>
      <c r="FN109" s="55"/>
      <c r="FO109" s="55"/>
      <c r="FP109" s="55"/>
      <c r="FQ109" s="55"/>
      <c r="FR109" s="55"/>
      <c r="FS109" s="55"/>
      <c r="FT109" s="55"/>
      <c r="FU109" s="55"/>
      <c r="FV109" s="55"/>
      <c r="FW109" s="55"/>
      <c r="FX109" s="55"/>
      <c r="FY109" s="55"/>
      <c r="FZ109" s="55"/>
      <c r="GA109" s="55"/>
      <c r="GB109" s="55"/>
      <c r="GC109" s="55"/>
      <c r="GD109" s="55"/>
      <c r="GE109" s="55"/>
      <c r="GF109" s="55"/>
      <c r="GG109" s="55"/>
      <c r="GH109" s="55"/>
      <c r="GI109" s="55"/>
      <c r="GJ109" s="55"/>
      <c r="GK109" s="55"/>
      <c r="GL109" s="55"/>
      <c r="GM109" s="55"/>
      <c r="GN109" s="55"/>
      <c r="GO109" s="55"/>
      <c r="GP109" s="55"/>
      <c r="GQ109" s="55"/>
      <c r="GR109" s="55"/>
      <c r="GS109" s="55"/>
      <c r="GT109" s="55"/>
      <c r="GU109" s="55"/>
      <c r="GV109" s="55"/>
      <c r="GW109" s="55"/>
      <c r="GX109" s="55"/>
      <c r="GY109" s="55"/>
      <c r="GZ109" s="55"/>
      <c r="HA109" s="55"/>
      <c r="HB109" s="55"/>
      <c r="HC109" s="55"/>
      <c r="HD109" s="55"/>
      <c r="HE109" s="55"/>
      <c r="HF109" s="55"/>
      <c r="HG109" s="55"/>
      <c r="HH109" s="55"/>
      <c r="HI109" s="55"/>
      <c r="HJ109" s="55"/>
      <c r="HK109" s="55"/>
      <c r="HL109" s="55"/>
      <c r="HM109" s="55"/>
      <c r="HN109" s="55"/>
    </row>
    <row r="110" spans="1:222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  <c r="BB110" s="55"/>
      <c r="BC110" s="55"/>
      <c r="BD110" s="55"/>
      <c r="BE110" s="55"/>
      <c r="BF110" s="55"/>
      <c r="BG110" s="55"/>
      <c r="BH110" s="55"/>
      <c r="BI110" s="55"/>
      <c r="BJ110" s="55"/>
      <c r="BK110" s="55"/>
      <c r="BL110" s="55"/>
      <c r="BM110" s="55"/>
      <c r="BN110" s="55"/>
      <c r="BO110" s="55"/>
      <c r="BP110" s="55"/>
      <c r="BQ110" s="55"/>
      <c r="BR110" s="55"/>
      <c r="BS110" s="55"/>
      <c r="BT110" s="55"/>
      <c r="BU110" s="55"/>
      <c r="BV110" s="55"/>
      <c r="BW110" s="55"/>
      <c r="BX110" s="55"/>
      <c r="BY110" s="55"/>
      <c r="BZ110" s="55"/>
      <c r="CA110" s="55"/>
      <c r="CB110" s="55"/>
      <c r="CC110" s="55"/>
      <c r="CD110" s="55"/>
      <c r="CE110" s="55"/>
      <c r="CF110" s="55"/>
      <c r="CG110" s="55"/>
      <c r="CH110" s="55"/>
      <c r="CI110" s="55"/>
      <c r="CJ110" s="55"/>
      <c r="CK110" s="55"/>
      <c r="CL110" s="55"/>
      <c r="CM110" s="55"/>
      <c r="CN110" s="55"/>
      <c r="CO110" s="55"/>
      <c r="CP110" s="55"/>
      <c r="CQ110" s="55"/>
      <c r="CR110" s="55"/>
      <c r="CS110" s="55"/>
      <c r="CT110" s="55"/>
      <c r="CU110" s="55"/>
      <c r="CV110" s="55"/>
      <c r="CW110" s="55"/>
      <c r="CX110" s="55"/>
      <c r="CY110" s="55"/>
      <c r="CZ110" s="55"/>
      <c r="DA110" s="55"/>
      <c r="DB110" s="55"/>
      <c r="DC110" s="55"/>
      <c r="DD110" s="55"/>
      <c r="DE110" s="55"/>
      <c r="DF110" s="55"/>
      <c r="DG110" s="55"/>
      <c r="DH110" s="55"/>
      <c r="DI110" s="55"/>
      <c r="DJ110" s="55"/>
      <c r="DK110" s="55"/>
      <c r="DL110" s="55"/>
      <c r="DM110" s="55"/>
      <c r="DN110" s="55"/>
      <c r="DO110" s="55"/>
      <c r="DP110" s="55"/>
      <c r="DQ110" s="55"/>
      <c r="DR110" s="55"/>
      <c r="DS110" s="55"/>
      <c r="DT110" s="55"/>
      <c r="DU110" s="55"/>
      <c r="DV110" s="55"/>
      <c r="DW110" s="55"/>
      <c r="DX110" s="55"/>
      <c r="DY110" s="55"/>
      <c r="DZ110" s="55"/>
      <c r="EA110" s="55"/>
      <c r="EB110" s="55"/>
      <c r="EC110" s="55"/>
      <c r="ED110" s="55"/>
      <c r="EE110" s="55"/>
      <c r="EF110" s="55"/>
      <c r="EG110" s="55"/>
      <c r="EH110" s="55"/>
      <c r="EI110" s="55"/>
      <c r="EJ110" s="55"/>
      <c r="EK110" s="55"/>
      <c r="EL110" s="55"/>
      <c r="EM110" s="55"/>
      <c r="EN110" s="55"/>
      <c r="EO110" s="55"/>
      <c r="EP110" s="55"/>
      <c r="EQ110" s="55"/>
      <c r="ER110" s="55"/>
      <c r="ES110" s="55"/>
      <c r="ET110" s="55"/>
      <c r="EU110" s="55"/>
      <c r="EV110" s="55"/>
      <c r="EW110" s="55"/>
      <c r="EX110" s="55"/>
      <c r="EY110" s="55"/>
      <c r="EZ110" s="55"/>
      <c r="FA110" s="55"/>
      <c r="FB110" s="55"/>
      <c r="FC110" s="55"/>
      <c r="FD110" s="55"/>
      <c r="FE110" s="55"/>
      <c r="FF110" s="55"/>
      <c r="FG110" s="55"/>
      <c r="FH110" s="55"/>
      <c r="FI110" s="55"/>
      <c r="FJ110" s="55"/>
      <c r="FK110" s="55"/>
      <c r="FL110" s="55"/>
      <c r="FM110" s="55"/>
      <c r="FN110" s="55"/>
      <c r="FO110" s="55"/>
      <c r="FP110" s="55"/>
      <c r="FQ110" s="55"/>
      <c r="FR110" s="55"/>
      <c r="FS110" s="55"/>
      <c r="FT110" s="55"/>
      <c r="FU110" s="55"/>
      <c r="FV110" s="55"/>
      <c r="FW110" s="55"/>
      <c r="FX110" s="55"/>
      <c r="FY110" s="55"/>
      <c r="FZ110" s="55"/>
      <c r="GA110" s="55"/>
      <c r="GB110" s="55"/>
      <c r="GC110" s="55"/>
      <c r="GD110" s="55"/>
      <c r="GE110" s="55"/>
      <c r="GF110" s="55"/>
      <c r="GG110" s="55"/>
      <c r="GH110" s="55"/>
      <c r="GI110" s="55"/>
      <c r="GJ110" s="55"/>
      <c r="GK110" s="55"/>
      <c r="GL110" s="55"/>
      <c r="GM110" s="55"/>
      <c r="GN110" s="55"/>
      <c r="GO110" s="55"/>
      <c r="GP110" s="55"/>
      <c r="GQ110" s="55"/>
      <c r="GR110" s="55"/>
      <c r="GS110" s="55"/>
      <c r="GT110" s="55"/>
      <c r="GU110" s="55"/>
      <c r="GV110" s="55"/>
      <c r="GW110" s="55"/>
      <c r="GX110" s="55"/>
      <c r="GY110" s="55"/>
      <c r="GZ110" s="55"/>
      <c r="HA110" s="55"/>
      <c r="HB110" s="55"/>
      <c r="HC110" s="55"/>
      <c r="HD110" s="55"/>
      <c r="HE110" s="55"/>
      <c r="HF110" s="55"/>
      <c r="HG110" s="55"/>
      <c r="HH110" s="55"/>
      <c r="HI110" s="55"/>
      <c r="HJ110" s="55"/>
      <c r="HK110" s="55"/>
      <c r="HL110" s="55"/>
      <c r="HM110" s="55"/>
      <c r="HN110" s="55"/>
    </row>
    <row r="111" spans="1:222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5"/>
      <c r="AY111" s="55"/>
      <c r="AZ111" s="55"/>
      <c r="BA111" s="55"/>
      <c r="BB111" s="55"/>
      <c r="BC111" s="55"/>
      <c r="BD111" s="55"/>
      <c r="BE111" s="55"/>
      <c r="BF111" s="55"/>
      <c r="BG111" s="55"/>
      <c r="BH111" s="55"/>
      <c r="BI111" s="55"/>
      <c r="BJ111" s="55"/>
      <c r="BK111" s="55"/>
      <c r="BL111" s="55"/>
      <c r="BM111" s="55"/>
      <c r="BN111" s="55"/>
      <c r="BO111" s="55"/>
      <c r="BP111" s="55"/>
      <c r="BQ111" s="55"/>
      <c r="BR111" s="55"/>
      <c r="BS111" s="55"/>
      <c r="BT111" s="55"/>
      <c r="BU111" s="55"/>
      <c r="BV111" s="55"/>
      <c r="BW111" s="55"/>
      <c r="BX111" s="55"/>
      <c r="BY111" s="55"/>
      <c r="BZ111" s="55"/>
      <c r="CA111" s="55"/>
      <c r="CB111" s="55"/>
      <c r="CC111" s="55"/>
      <c r="CD111" s="55"/>
      <c r="CE111" s="55"/>
      <c r="CF111" s="55"/>
      <c r="CG111" s="55"/>
      <c r="CH111" s="55"/>
      <c r="CI111" s="55"/>
      <c r="CJ111" s="55"/>
      <c r="CK111" s="55"/>
      <c r="CL111" s="55"/>
      <c r="CM111" s="55"/>
      <c r="CN111" s="55"/>
      <c r="CO111" s="55"/>
      <c r="CP111" s="55"/>
      <c r="CQ111" s="55"/>
      <c r="CR111" s="55"/>
      <c r="CS111" s="55"/>
      <c r="CT111" s="55"/>
      <c r="CU111" s="55"/>
      <c r="CV111" s="55"/>
      <c r="CW111" s="55"/>
      <c r="CX111" s="55"/>
      <c r="CY111" s="55"/>
      <c r="CZ111" s="55"/>
      <c r="DA111" s="55"/>
      <c r="DB111" s="55"/>
      <c r="DC111" s="55"/>
      <c r="DD111" s="55"/>
      <c r="DE111" s="55"/>
      <c r="DF111" s="55"/>
      <c r="DG111" s="55"/>
      <c r="DH111" s="55"/>
      <c r="DI111" s="55"/>
      <c r="DJ111" s="55"/>
      <c r="DK111" s="55"/>
      <c r="DL111" s="55"/>
      <c r="DM111" s="55"/>
      <c r="DN111" s="55"/>
      <c r="DO111" s="55"/>
      <c r="DP111" s="55"/>
      <c r="DQ111" s="55"/>
      <c r="DR111" s="55"/>
      <c r="DS111" s="55"/>
      <c r="DT111" s="55"/>
      <c r="DU111" s="55"/>
      <c r="DV111" s="55"/>
      <c r="DW111" s="55"/>
      <c r="DX111" s="55"/>
      <c r="DY111" s="55"/>
      <c r="DZ111" s="55"/>
      <c r="EA111" s="55"/>
      <c r="EB111" s="55"/>
      <c r="EC111" s="55"/>
      <c r="ED111" s="55"/>
      <c r="EE111" s="55"/>
      <c r="EF111" s="55"/>
      <c r="EG111" s="55"/>
      <c r="EH111" s="55"/>
      <c r="EI111" s="55"/>
      <c r="EJ111" s="55"/>
      <c r="EK111" s="55"/>
      <c r="EL111" s="55"/>
      <c r="EM111" s="55"/>
      <c r="EN111" s="55"/>
      <c r="EO111" s="55"/>
      <c r="EP111" s="55"/>
      <c r="EQ111" s="55"/>
      <c r="ER111" s="55"/>
      <c r="ES111" s="55"/>
      <c r="ET111" s="55"/>
      <c r="EU111" s="55"/>
      <c r="EV111" s="55"/>
      <c r="EW111" s="55"/>
      <c r="EX111" s="55"/>
      <c r="EY111" s="55"/>
      <c r="EZ111" s="55"/>
      <c r="FA111" s="55"/>
      <c r="FB111" s="55"/>
      <c r="FC111" s="55"/>
      <c r="FD111" s="55"/>
      <c r="FE111" s="55"/>
      <c r="FF111" s="55"/>
      <c r="FG111" s="55"/>
      <c r="FH111" s="55"/>
      <c r="FI111" s="55"/>
      <c r="FJ111" s="55"/>
      <c r="FK111" s="55"/>
      <c r="FL111" s="55"/>
      <c r="FM111" s="55"/>
      <c r="FN111" s="55"/>
      <c r="FO111" s="55"/>
      <c r="FP111" s="55"/>
      <c r="FQ111" s="55"/>
      <c r="FR111" s="55"/>
      <c r="FS111" s="55"/>
      <c r="FT111" s="55"/>
      <c r="FU111" s="55"/>
      <c r="FV111" s="55"/>
      <c r="FW111" s="55"/>
      <c r="FX111" s="55"/>
      <c r="FY111" s="55"/>
      <c r="FZ111" s="55"/>
      <c r="GA111" s="55"/>
      <c r="GB111" s="55"/>
      <c r="GC111" s="55"/>
      <c r="GD111" s="55"/>
      <c r="GE111" s="55"/>
      <c r="GF111" s="55"/>
      <c r="GG111" s="55"/>
      <c r="GH111" s="55"/>
      <c r="GI111" s="55"/>
      <c r="GJ111" s="55"/>
      <c r="GK111" s="55"/>
      <c r="GL111" s="55"/>
      <c r="GM111" s="55"/>
      <c r="GN111" s="55"/>
      <c r="GO111" s="55"/>
      <c r="GP111" s="55"/>
      <c r="GQ111" s="55"/>
      <c r="GR111" s="55"/>
      <c r="GS111" s="55"/>
      <c r="GT111" s="55"/>
      <c r="GU111" s="55"/>
      <c r="GV111" s="55"/>
      <c r="GW111" s="55"/>
      <c r="GX111" s="55"/>
      <c r="GY111" s="55"/>
      <c r="GZ111" s="55"/>
      <c r="HA111" s="55"/>
      <c r="HB111" s="55"/>
      <c r="HC111" s="55"/>
      <c r="HD111" s="55"/>
      <c r="HE111" s="55"/>
      <c r="HF111" s="55"/>
      <c r="HG111" s="55"/>
      <c r="HH111" s="55"/>
      <c r="HI111" s="55"/>
      <c r="HJ111" s="55"/>
      <c r="HK111" s="55"/>
      <c r="HL111" s="55"/>
      <c r="HM111" s="55"/>
      <c r="HN111" s="55"/>
    </row>
    <row r="112" spans="1:222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5"/>
      <c r="AY112" s="55"/>
      <c r="AZ112" s="55"/>
      <c r="BA112" s="55"/>
      <c r="BB112" s="55"/>
      <c r="BC112" s="55"/>
      <c r="BD112" s="55"/>
      <c r="BE112" s="55"/>
      <c r="BF112" s="55"/>
      <c r="BG112" s="55"/>
      <c r="BH112" s="55"/>
      <c r="BI112" s="55"/>
      <c r="BJ112" s="55"/>
      <c r="BK112" s="55"/>
      <c r="BL112" s="55"/>
      <c r="BM112" s="55"/>
      <c r="BN112" s="55"/>
      <c r="BO112" s="55"/>
      <c r="BP112" s="55"/>
      <c r="BQ112" s="55"/>
      <c r="BR112" s="55"/>
      <c r="BS112" s="55"/>
      <c r="BT112" s="55"/>
      <c r="BU112" s="55"/>
      <c r="BV112" s="55"/>
      <c r="BW112" s="55"/>
      <c r="BX112" s="55"/>
      <c r="BY112" s="55"/>
      <c r="BZ112" s="55"/>
      <c r="CA112" s="55"/>
      <c r="CB112" s="55"/>
      <c r="CC112" s="55"/>
      <c r="CD112" s="55"/>
      <c r="CE112" s="55"/>
      <c r="CF112" s="55"/>
      <c r="CG112" s="55"/>
      <c r="CH112" s="55"/>
      <c r="CI112" s="55"/>
      <c r="CJ112" s="55"/>
      <c r="CK112" s="55"/>
      <c r="CL112" s="55"/>
      <c r="CM112" s="55"/>
      <c r="CN112" s="55"/>
      <c r="CO112" s="55"/>
      <c r="CP112" s="55"/>
      <c r="CQ112" s="55"/>
      <c r="CR112" s="55"/>
      <c r="CS112" s="55"/>
      <c r="CT112" s="55"/>
      <c r="CU112" s="55"/>
      <c r="CV112" s="55"/>
      <c r="CW112" s="55"/>
      <c r="CX112" s="55"/>
      <c r="CY112" s="55"/>
      <c r="CZ112" s="55"/>
      <c r="DA112" s="55"/>
      <c r="DB112" s="55"/>
      <c r="DC112" s="55"/>
      <c r="DD112" s="55"/>
      <c r="DE112" s="55"/>
      <c r="DF112" s="55"/>
      <c r="DG112" s="55"/>
      <c r="DH112" s="55"/>
      <c r="DI112" s="55"/>
      <c r="DJ112" s="55"/>
      <c r="DK112" s="55"/>
      <c r="DL112" s="55"/>
      <c r="DM112" s="55"/>
      <c r="DN112" s="55"/>
      <c r="DO112" s="55"/>
      <c r="DP112" s="55"/>
      <c r="DQ112" s="55"/>
      <c r="DR112" s="55"/>
      <c r="DS112" s="55"/>
      <c r="DT112" s="55"/>
      <c r="DU112" s="55"/>
      <c r="DV112" s="55"/>
      <c r="DW112" s="55"/>
      <c r="DX112" s="55"/>
      <c r="DY112" s="55"/>
      <c r="DZ112" s="55"/>
      <c r="EA112" s="55"/>
      <c r="EB112" s="55"/>
      <c r="EC112" s="55"/>
      <c r="ED112" s="55"/>
      <c r="EE112" s="55"/>
      <c r="EF112" s="55"/>
      <c r="EG112" s="55"/>
      <c r="EH112" s="55"/>
      <c r="EI112" s="55"/>
      <c r="EJ112" s="55"/>
      <c r="EK112" s="55"/>
      <c r="EL112" s="55"/>
      <c r="EM112" s="55"/>
      <c r="EN112" s="55"/>
      <c r="EO112" s="55"/>
      <c r="EP112" s="55"/>
      <c r="EQ112" s="55"/>
      <c r="ER112" s="55"/>
      <c r="ES112" s="55"/>
      <c r="ET112" s="55"/>
      <c r="EU112" s="55"/>
      <c r="EV112" s="55"/>
      <c r="EW112" s="55"/>
      <c r="EX112" s="55"/>
      <c r="EY112" s="55"/>
      <c r="EZ112" s="55"/>
      <c r="FA112" s="55"/>
      <c r="FB112" s="55"/>
      <c r="FC112" s="55"/>
      <c r="FD112" s="55"/>
      <c r="FE112" s="55"/>
      <c r="FF112" s="55"/>
      <c r="FG112" s="55"/>
      <c r="FH112" s="55"/>
      <c r="FI112" s="55"/>
      <c r="FJ112" s="55"/>
      <c r="FK112" s="55"/>
      <c r="FL112" s="55"/>
      <c r="FM112" s="55"/>
      <c r="FN112" s="55"/>
      <c r="FO112" s="55"/>
      <c r="FP112" s="55"/>
      <c r="FQ112" s="55"/>
      <c r="FR112" s="55"/>
      <c r="FS112" s="55"/>
      <c r="FT112" s="55"/>
      <c r="FU112" s="55"/>
      <c r="FV112" s="55"/>
      <c r="FW112" s="55"/>
      <c r="FX112" s="55"/>
      <c r="FY112" s="55"/>
      <c r="FZ112" s="55"/>
      <c r="GA112" s="55"/>
      <c r="GB112" s="55"/>
      <c r="GC112" s="55"/>
      <c r="GD112" s="55"/>
      <c r="GE112" s="55"/>
      <c r="GF112" s="55"/>
      <c r="GG112" s="55"/>
      <c r="GH112" s="55"/>
      <c r="GI112" s="55"/>
      <c r="GJ112" s="55"/>
      <c r="GK112" s="55"/>
      <c r="GL112" s="55"/>
      <c r="GM112" s="55"/>
      <c r="GN112" s="55"/>
      <c r="GO112" s="55"/>
      <c r="GP112" s="55"/>
      <c r="GQ112" s="55"/>
      <c r="GR112" s="55"/>
      <c r="GS112" s="55"/>
      <c r="GT112" s="55"/>
      <c r="GU112" s="55"/>
      <c r="GV112" s="55"/>
      <c r="GW112" s="55"/>
      <c r="GX112" s="55"/>
      <c r="GY112" s="55"/>
      <c r="GZ112" s="55"/>
      <c r="HA112" s="55"/>
      <c r="HB112" s="55"/>
      <c r="HC112" s="55"/>
      <c r="HD112" s="55"/>
      <c r="HE112" s="55"/>
      <c r="HF112" s="55"/>
      <c r="HG112" s="55"/>
      <c r="HH112" s="55"/>
      <c r="HI112" s="55"/>
      <c r="HJ112" s="55"/>
      <c r="HK112" s="55"/>
      <c r="HL112" s="55"/>
      <c r="HM112" s="55"/>
      <c r="HN112" s="55"/>
    </row>
    <row r="113" spans="1:222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55"/>
      <c r="BB113" s="55"/>
      <c r="BC113" s="55"/>
      <c r="BD113" s="55"/>
      <c r="BE113" s="55"/>
      <c r="BF113" s="55"/>
      <c r="BG113" s="55"/>
      <c r="BH113" s="55"/>
      <c r="BI113" s="55"/>
      <c r="BJ113" s="55"/>
      <c r="BK113" s="55"/>
      <c r="BL113" s="55"/>
      <c r="BM113" s="55"/>
      <c r="BN113" s="55"/>
      <c r="BO113" s="55"/>
      <c r="BP113" s="55"/>
      <c r="BQ113" s="55"/>
      <c r="BR113" s="55"/>
      <c r="BS113" s="55"/>
      <c r="BT113" s="55"/>
      <c r="BU113" s="55"/>
      <c r="BV113" s="55"/>
      <c r="BW113" s="55"/>
      <c r="BX113" s="55"/>
      <c r="BY113" s="55"/>
      <c r="BZ113" s="55"/>
      <c r="CA113" s="55"/>
      <c r="CB113" s="55"/>
      <c r="CC113" s="55"/>
      <c r="CD113" s="55"/>
      <c r="CE113" s="55"/>
      <c r="CF113" s="55"/>
      <c r="CG113" s="55"/>
      <c r="CH113" s="55"/>
      <c r="CI113" s="55"/>
      <c r="CJ113" s="55"/>
      <c r="CK113" s="55"/>
      <c r="CL113" s="55"/>
      <c r="CM113" s="55"/>
      <c r="CN113" s="55"/>
      <c r="CO113" s="55"/>
      <c r="CP113" s="55"/>
      <c r="CQ113" s="55"/>
      <c r="CR113" s="55"/>
      <c r="CS113" s="55"/>
      <c r="CT113" s="55"/>
      <c r="CU113" s="55"/>
      <c r="CV113" s="55"/>
      <c r="CW113" s="55"/>
      <c r="CX113" s="55"/>
      <c r="CY113" s="55"/>
      <c r="CZ113" s="55"/>
      <c r="DA113" s="55"/>
      <c r="DB113" s="55"/>
      <c r="DC113" s="55"/>
      <c r="DD113" s="55"/>
      <c r="DE113" s="55"/>
      <c r="DF113" s="55"/>
      <c r="DG113" s="55"/>
      <c r="DH113" s="55"/>
      <c r="DI113" s="55"/>
      <c r="DJ113" s="55"/>
      <c r="DK113" s="55"/>
      <c r="DL113" s="55"/>
      <c r="DM113" s="55"/>
      <c r="DN113" s="55"/>
      <c r="DO113" s="55"/>
      <c r="DP113" s="55"/>
      <c r="DQ113" s="55"/>
      <c r="DR113" s="55"/>
      <c r="DS113" s="55"/>
      <c r="DT113" s="55"/>
      <c r="DU113" s="55"/>
      <c r="DV113" s="55"/>
      <c r="DW113" s="55"/>
      <c r="DX113" s="55"/>
      <c r="DY113" s="55"/>
      <c r="DZ113" s="55"/>
      <c r="EA113" s="55"/>
      <c r="EB113" s="55"/>
      <c r="EC113" s="55"/>
      <c r="ED113" s="55"/>
      <c r="EE113" s="55"/>
      <c r="EF113" s="55"/>
      <c r="EG113" s="55"/>
      <c r="EH113" s="55"/>
      <c r="EI113" s="55"/>
      <c r="EJ113" s="55"/>
      <c r="EK113" s="55"/>
      <c r="EL113" s="55"/>
      <c r="EM113" s="55"/>
      <c r="EN113" s="55"/>
      <c r="EO113" s="55"/>
      <c r="EP113" s="55"/>
      <c r="EQ113" s="55"/>
      <c r="ER113" s="55"/>
      <c r="ES113" s="55"/>
      <c r="ET113" s="55"/>
      <c r="EU113" s="55"/>
      <c r="EV113" s="55"/>
      <c r="EW113" s="55"/>
      <c r="EX113" s="55"/>
      <c r="EY113" s="55"/>
      <c r="EZ113" s="55"/>
      <c r="FA113" s="55"/>
      <c r="FB113" s="55"/>
      <c r="FC113" s="55"/>
      <c r="FD113" s="55"/>
      <c r="FE113" s="55"/>
      <c r="FF113" s="55"/>
      <c r="FG113" s="55"/>
      <c r="FH113" s="55"/>
      <c r="FI113" s="55"/>
      <c r="FJ113" s="55"/>
      <c r="FK113" s="55"/>
      <c r="FL113" s="55"/>
      <c r="FM113" s="55"/>
      <c r="FN113" s="55"/>
      <c r="FO113" s="55"/>
      <c r="FP113" s="55"/>
      <c r="FQ113" s="55"/>
      <c r="FR113" s="55"/>
      <c r="FS113" s="55"/>
      <c r="FT113" s="55"/>
      <c r="FU113" s="55"/>
      <c r="FV113" s="55"/>
      <c r="FW113" s="55"/>
      <c r="FX113" s="55"/>
      <c r="FY113" s="55"/>
      <c r="FZ113" s="55"/>
      <c r="GA113" s="55"/>
      <c r="GB113" s="55"/>
      <c r="GC113" s="55"/>
      <c r="GD113" s="55"/>
      <c r="GE113" s="55"/>
      <c r="GF113" s="55"/>
      <c r="GG113" s="55"/>
      <c r="GH113" s="55"/>
      <c r="GI113" s="55"/>
      <c r="GJ113" s="55"/>
      <c r="GK113" s="55"/>
      <c r="GL113" s="55"/>
      <c r="GM113" s="55"/>
      <c r="GN113" s="55"/>
      <c r="GO113" s="55"/>
      <c r="GP113" s="55"/>
      <c r="GQ113" s="55"/>
      <c r="GR113" s="55"/>
      <c r="GS113" s="55"/>
      <c r="GT113" s="55"/>
      <c r="GU113" s="55"/>
      <c r="GV113" s="55"/>
      <c r="GW113" s="55"/>
      <c r="GX113" s="55"/>
      <c r="GY113" s="55"/>
      <c r="GZ113" s="55"/>
      <c r="HA113" s="55"/>
      <c r="HB113" s="55"/>
      <c r="HC113" s="55"/>
      <c r="HD113" s="55"/>
      <c r="HE113" s="55"/>
      <c r="HF113" s="55"/>
      <c r="HG113" s="55"/>
      <c r="HH113" s="55"/>
      <c r="HI113" s="55"/>
      <c r="HJ113" s="55"/>
      <c r="HK113" s="55"/>
      <c r="HL113" s="55"/>
      <c r="HM113" s="55"/>
      <c r="HN113" s="55"/>
    </row>
    <row r="114" spans="1:222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5"/>
      <c r="AY114" s="55"/>
      <c r="AZ114" s="55"/>
      <c r="BA114" s="55"/>
      <c r="BB114" s="55"/>
      <c r="BC114" s="55"/>
      <c r="BD114" s="55"/>
      <c r="BE114" s="55"/>
      <c r="BF114" s="55"/>
      <c r="BG114" s="55"/>
      <c r="BH114" s="55"/>
      <c r="BI114" s="55"/>
      <c r="BJ114" s="55"/>
      <c r="BK114" s="55"/>
      <c r="BL114" s="55"/>
      <c r="BM114" s="55"/>
      <c r="BN114" s="55"/>
      <c r="BO114" s="55"/>
      <c r="BP114" s="55"/>
      <c r="BQ114" s="55"/>
      <c r="BR114" s="55"/>
      <c r="BS114" s="55"/>
      <c r="BT114" s="55"/>
      <c r="BU114" s="55"/>
      <c r="BV114" s="55"/>
      <c r="BW114" s="55"/>
      <c r="BX114" s="55"/>
      <c r="BY114" s="55"/>
      <c r="BZ114" s="55"/>
      <c r="CA114" s="55"/>
      <c r="CB114" s="55"/>
      <c r="CC114" s="55"/>
      <c r="CD114" s="55"/>
      <c r="CE114" s="55"/>
      <c r="CF114" s="55"/>
      <c r="CG114" s="55"/>
      <c r="CH114" s="55"/>
      <c r="CI114" s="55"/>
      <c r="CJ114" s="55"/>
      <c r="CK114" s="55"/>
      <c r="CL114" s="55"/>
      <c r="CM114" s="55"/>
      <c r="CN114" s="55"/>
      <c r="CO114" s="55"/>
      <c r="CP114" s="55"/>
      <c r="CQ114" s="55"/>
      <c r="CR114" s="55"/>
      <c r="CS114" s="55"/>
      <c r="CT114" s="55"/>
      <c r="CU114" s="55"/>
      <c r="CV114" s="55"/>
      <c r="CW114" s="55"/>
      <c r="CX114" s="55"/>
      <c r="CY114" s="55"/>
      <c r="CZ114" s="55"/>
      <c r="DA114" s="55"/>
      <c r="DB114" s="55"/>
      <c r="DC114" s="55"/>
      <c r="DD114" s="55"/>
      <c r="DE114" s="55"/>
      <c r="DF114" s="55"/>
      <c r="DG114" s="55"/>
      <c r="DH114" s="55"/>
      <c r="DI114" s="55"/>
      <c r="DJ114" s="55"/>
      <c r="DK114" s="55"/>
      <c r="DL114" s="55"/>
      <c r="DM114" s="55"/>
      <c r="DN114" s="55"/>
      <c r="DO114" s="55"/>
      <c r="DP114" s="55"/>
      <c r="DQ114" s="55"/>
      <c r="DR114" s="55"/>
      <c r="DS114" s="55"/>
      <c r="DT114" s="55"/>
      <c r="DU114" s="55"/>
      <c r="DV114" s="55"/>
      <c r="DW114" s="55"/>
      <c r="DX114" s="55"/>
      <c r="DY114" s="55"/>
      <c r="DZ114" s="55"/>
      <c r="EA114" s="55"/>
      <c r="EB114" s="55"/>
      <c r="EC114" s="55"/>
      <c r="ED114" s="55"/>
      <c r="EE114" s="55"/>
      <c r="EF114" s="55"/>
      <c r="EG114" s="55"/>
      <c r="EH114" s="55"/>
      <c r="EI114" s="55"/>
      <c r="EJ114" s="55"/>
      <c r="EK114" s="55"/>
      <c r="EL114" s="55"/>
      <c r="EM114" s="55"/>
      <c r="EN114" s="55"/>
      <c r="EO114" s="55"/>
      <c r="EP114" s="55"/>
      <c r="EQ114" s="55"/>
      <c r="ER114" s="55"/>
      <c r="ES114" s="55"/>
      <c r="ET114" s="55"/>
      <c r="EU114" s="55"/>
      <c r="EV114" s="55"/>
      <c r="EW114" s="55"/>
      <c r="EX114" s="55"/>
      <c r="EY114" s="55"/>
      <c r="EZ114" s="55"/>
      <c r="FA114" s="55"/>
      <c r="FB114" s="55"/>
      <c r="FC114" s="55"/>
      <c r="FD114" s="55"/>
      <c r="FE114" s="55"/>
      <c r="FF114" s="55"/>
      <c r="FG114" s="55"/>
      <c r="FH114" s="55"/>
      <c r="FI114" s="55"/>
      <c r="FJ114" s="55"/>
      <c r="FK114" s="55"/>
      <c r="FL114" s="55"/>
      <c r="FM114" s="55"/>
      <c r="FN114" s="55"/>
      <c r="FO114" s="55"/>
      <c r="FP114" s="55"/>
      <c r="FQ114" s="55"/>
      <c r="FR114" s="55"/>
      <c r="FS114" s="55"/>
      <c r="FT114" s="55"/>
      <c r="FU114" s="55"/>
      <c r="FV114" s="55"/>
      <c r="FW114" s="55"/>
      <c r="FX114" s="55"/>
      <c r="FY114" s="55"/>
      <c r="FZ114" s="55"/>
      <c r="GA114" s="55"/>
      <c r="GB114" s="55"/>
      <c r="GC114" s="55"/>
      <c r="GD114" s="55"/>
      <c r="GE114" s="55"/>
      <c r="GF114" s="55"/>
      <c r="GG114" s="55"/>
      <c r="GH114" s="55"/>
      <c r="GI114" s="55"/>
      <c r="GJ114" s="55"/>
      <c r="GK114" s="55"/>
      <c r="GL114" s="55"/>
      <c r="GM114" s="55"/>
      <c r="GN114" s="55"/>
      <c r="GO114" s="55"/>
      <c r="GP114" s="55"/>
      <c r="GQ114" s="55"/>
      <c r="GR114" s="55"/>
      <c r="GS114" s="55"/>
      <c r="GT114" s="55"/>
      <c r="GU114" s="55"/>
      <c r="GV114" s="55"/>
      <c r="GW114" s="55"/>
      <c r="GX114" s="55"/>
      <c r="GY114" s="55"/>
      <c r="GZ114" s="55"/>
      <c r="HA114" s="55"/>
      <c r="HB114" s="55"/>
      <c r="HC114" s="55"/>
      <c r="HD114" s="55"/>
      <c r="HE114" s="55"/>
      <c r="HF114" s="55"/>
      <c r="HG114" s="55"/>
      <c r="HH114" s="55"/>
      <c r="HI114" s="55"/>
      <c r="HJ114" s="55"/>
      <c r="HK114" s="55"/>
      <c r="HL114" s="55"/>
      <c r="HM114" s="55"/>
      <c r="HN114" s="55"/>
    </row>
  </sheetData>
  <printOptions horizontalCentered="1"/>
  <pageMargins left="0.7" right="0.7" top="0.75" bottom="0.75" header="0.3" footer="0.3"/>
  <pageSetup scale="86" fitToHeight="0" orientation="landscape" r:id="rId1"/>
  <headerFooter differentOddEven="1">
    <oddFooter>&amp;L&amp;"Arial"&amp;8Tyler Spencer&amp;C&amp;"Arial"&amp;8&amp;INot associated with PayPal. For educational purposes only.&amp;R&amp;"Arial"&amp;8Page &amp;P</oddFooter>
    <evenFooter>&amp;L&amp;"Arial"&amp;8Tyler Spencer&amp;C&amp;"Arial"&amp;8&amp;INot associated with PayPal. For educational purposes only.&amp;R&amp;"Arial"&amp;8Page &amp;P</evenFooter>
  </headerFooter>
  <rowBreaks count="1" manualBreakCount="1">
    <brk id="25" max="16383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1FD91-6609-47E2-BF7B-722B49B42DC4}">
  <sheetPr>
    <pageSetUpPr fitToPage="1"/>
  </sheetPr>
  <dimension ref="B1:L43"/>
  <sheetViews>
    <sheetView workbookViewId="0">
      <selection activeCell="I9" sqref="I9"/>
    </sheetView>
  </sheetViews>
  <sheetFormatPr defaultColWidth="9.109375" defaultRowHeight="13.8"/>
  <cols>
    <col min="1" max="1" width="2.6640625" style="55" customWidth="1"/>
    <col min="2" max="2" width="3.6640625" style="55" customWidth="1"/>
    <col min="3" max="3" width="29.88671875" style="55" customWidth="1"/>
    <col min="4" max="4" width="6.5546875" style="55" customWidth="1"/>
    <col min="5" max="12" width="12.33203125" style="55" customWidth="1"/>
    <col min="13" max="16384" width="9.109375" style="55"/>
  </cols>
  <sheetData>
    <row r="1" spans="2:12" s="56" customFormat="1" ht="13.2">
      <c r="I1" s="218"/>
      <c r="L1" s="725" t="str">
        <f>"CURRENTLY RUNNING: "&amp;UPPER(CHOOSE(Scenarios!$C$6,Scenarios!B10,Scenarios!B11,Scenarios!B12))&amp;" SCENARIO"</f>
        <v>CURRENTLY RUNNING: BASE CASE SCENARIO</v>
      </c>
    </row>
    <row r="2" spans="2:12" ht="22.8">
      <c r="B2" s="201" t="str">
        <f>Cover!$B$7</f>
        <v>PayPal</v>
      </c>
      <c r="C2" s="57"/>
      <c r="D2" s="58"/>
      <c r="E2" s="58"/>
      <c r="F2" s="58"/>
      <c r="G2" s="58"/>
      <c r="H2" s="58"/>
      <c r="I2" s="58"/>
      <c r="J2" s="58"/>
      <c r="K2" s="58"/>
      <c r="L2" s="59"/>
    </row>
    <row r="3" spans="2:12" ht="18" thickBot="1">
      <c r="B3" s="219" t="s">
        <v>136</v>
      </c>
      <c r="C3" s="3"/>
      <c r="D3" s="4"/>
      <c r="E3" s="4"/>
      <c r="F3" s="4"/>
      <c r="G3" s="4"/>
      <c r="H3" s="4"/>
      <c r="I3" s="4"/>
      <c r="J3" s="4"/>
      <c r="K3" s="4"/>
      <c r="L3" s="4"/>
    </row>
    <row r="4" spans="2:12">
      <c r="B4" s="220" t="s">
        <v>93</v>
      </c>
      <c r="C4" s="56"/>
      <c r="D4" s="56"/>
      <c r="E4" s="56"/>
      <c r="F4" s="56"/>
      <c r="G4" s="56"/>
      <c r="H4" s="56"/>
      <c r="I4" s="56"/>
      <c r="J4" s="56"/>
      <c r="K4" s="56"/>
      <c r="L4" s="56"/>
    </row>
    <row r="5" spans="2:12">
      <c r="B5" s="56"/>
      <c r="C5" s="56"/>
      <c r="D5" s="56"/>
      <c r="E5" s="56"/>
      <c r="F5" s="56"/>
      <c r="G5" s="56"/>
      <c r="H5" s="202" t="s">
        <v>94</v>
      </c>
      <c r="I5" s="75"/>
      <c r="J5" s="75"/>
      <c r="K5" s="75"/>
      <c r="L5" s="75"/>
    </row>
    <row r="6" spans="2:12">
      <c r="B6" s="34"/>
      <c r="C6" s="56"/>
      <c r="D6" s="56"/>
      <c r="E6" s="56"/>
      <c r="F6" s="8"/>
      <c r="G6" s="8"/>
      <c r="H6" s="256">
        <f>IS!H6</f>
        <v>2026</v>
      </c>
      <c r="I6" s="256">
        <f>IS!I6</f>
        <v>2027</v>
      </c>
      <c r="J6" s="256">
        <f>IS!J6</f>
        <v>2028</v>
      </c>
      <c r="K6" s="256">
        <f>IS!K6</f>
        <v>2029</v>
      </c>
      <c r="L6" s="256">
        <f>IS!L6</f>
        <v>2030</v>
      </c>
    </row>
    <row r="7" spans="2:12">
      <c r="B7" s="121" t="s">
        <v>137</v>
      </c>
      <c r="C7" s="56"/>
      <c r="D7" s="56"/>
      <c r="E7" s="56"/>
      <c r="F7" s="56"/>
      <c r="G7" s="56"/>
      <c r="H7" s="56"/>
      <c r="I7" s="56"/>
      <c r="J7" s="56"/>
      <c r="K7" s="56"/>
      <c r="L7" s="56"/>
    </row>
    <row r="8" spans="2:12">
      <c r="B8" s="56"/>
      <c r="C8" s="125" t="s">
        <v>97</v>
      </c>
      <c r="D8" s="56"/>
      <c r="E8" s="56"/>
      <c r="F8" s="285"/>
      <c r="G8" s="285"/>
      <c r="H8" s="921">
        <f>IS!H25</f>
        <v>5255.370916270037</v>
      </c>
      <c r="I8" s="921">
        <f>IS!I25</f>
        <v>5168.7406383377765</v>
      </c>
      <c r="J8" s="921">
        <f>IS!J25</f>
        <v>5227.7720613742131</v>
      </c>
      <c r="K8" s="921">
        <f>IS!K25</f>
        <v>5453.3605313890184</v>
      </c>
      <c r="L8" s="921">
        <f>IS!L25</f>
        <v>5705.2741087865807</v>
      </c>
    </row>
    <row r="9" spans="2:12">
      <c r="B9" s="56"/>
      <c r="C9" s="125" t="s">
        <v>138</v>
      </c>
      <c r="D9" s="56"/>
      <c r="E9" s="56"/>
      <c r="F9" s="36"/>
      <c r="G9" s="36"/>
      <c r="H9" s="242">
        <f>-'D&amp;A Schedule'!G29</f>
        <v>872.06521406034938</v>
      </c>
      <c r="I9" s="242">
        <f>-'D&amp;A Schedule'!H29</f>
        <v>879.88879606146872</v>
      </c>
      <c r="J9" s="242">
        <f>-'D&amp;A Schedule'!I29</f>
        <v>916.67086001573193</v>
      </c>
      <c r="K9" s="242">
        <f>-'D&amp;A Schedule'!J29</f>
        <v>927.60299120747186</v>
      </c>
      <c r="L9" s="242">
        <f>-'D&amp;A Schedule'!K29</f>
        <v>990.29189547290935</v>
      </c>
    </row>
    <row r="10" spans="2:12">
      <c r="B10" s="56"/>
      <c r="C10" s="125" t="s">
        <v>147</v>
      </c>
      <c r="D10" s="56"/>
      <c r="E10" s="56"/>
      <c r="F10" s="36"/>
      <c r="G10" s="36"/>
      <c r="H10" s="99">
        <f>IS!H30</f>
        <v>1166.7333267200002</v>
      </c>
      <c r="I10" s="99">
        <f>IS!I30</f>
        <v>1213.4222145215999</v>
      </c>
      <c r="J10" s="99">
        <f>IS!J30</f>
        <v>1268.830902581248</v>
      </c>
      <c r="K10" s="99">
        <f>IS!K30</f>
        <v>1334.2749670934056</v>
      </c>
      <c r="L10" s="99">
        <f>IS!L30</f>
        <v>1403.0781991264253</v>
      </c>
    </row>
    <row r="11" spans="2:12">
      <c r="B11" s="56"/>
      <c r="C11" s="125" t="s">
        <v>148</v>
      </c>
      <c r="D11" s="56"/>
      <c r="E11" s="56"/>
      <c r="F11" s="36"/>
      <c r="G11" s="36"/>
      <c r="H11" s="242">
        <f>BS!G11-BS!H11</f>
        <v>-59.508084350657327</v>
      </c>
      <c r="I11" s="242">
        <f>BS!H11-BS!I11</f>
        <v>-71.450248921451475</v>
      </c>
      <c r="J11" s="242">
        <f>BS!I11-BS!J11</f>
        <v>-84.794578339415011</v>
      </c>
      <c r="K11" s="242">
        <f>BS!J11-BS!K11</f>
        <v>-100.15219723578366</v>
      </c>
      <c r="L11" s="242">
        <f>BS!K11-BS!L11</f>
        <v>-105.29289273819859</v>
      </c>
    </row>
    <row r="12" spans="2:12">
      <c r="B12" s="56"/>
      <c r="C12" s="125" t="s">
        <v>149</v>
      </c>
      <c r="D12" s="56"/>
      <c r="E12" s="56"/>
      <c r="F12" s="36"/>
      <c r="G12" s="36"/>
      <c r="H12" s="242">
        <f>BS!G10-BS!H10</f>
        <v>-24.94332037260267</v>
      </c>
      <c r="I12" s="242">
        <f>BS!H10-BS!I10</f>
        <v>-34.612229474191622</v>
      </c>
      <c r="J12" s="242">
        <f>BS!I10-BS!J10</f>
        <v>-38.506512492283036</v>
      </c>
      <c r="K12" s="242">
        <f>BS!J10-BS!K10</f>
        <v>-51.08618079221435</v>
      </c>
      <c r="L12" s="242">
        <f>BS!K10-BS!L10</f>
        <v>-51.006425036565702</v>
      </c>
    </row>
    <row r="13" spans="2:12">
      <c r="B13" s="56"/>
      <c r="C13" s="125" t="s">
        <v>150</v>
      </c>
      <c r="D13" s="56"/>
      <c r="E13" s="56"/>
      <c r="F13" s="36"/>
      <c r="G13" s="36"/>
      <c r="H13" s="242">
        <f>(BS!G14-BS!H14)+(BS!G21-BS!H21)</f>
        <v>-215.32949307517379</v>
      </c>
      <c r="I13" s="242">
        <f>(BS!H14-BS!I14)+(BS!H21-BS!I21)</f>
        <v>-249.49735268002814</v>
      </c>
      <c r="J13" s="242">
        <f>(BS!I14-BS!J14)+(BS!I21-BS!J21)</f>
        <v>-276.78083573434719</v>
      </c>
      <c r="K13" s="242">
        <f>(BS!J14-BS!K14)+(BS!J21-BS!K21)</f>
        <v>-326.20348717884963</v>
      </c>
      <c r="L13" s="242">
        <f>(BS!K14-BS!L14)+(BS!K21-BS!L21)</f>
        <v>-337.77184004316359</v>
      </c>
    </row>
    <row r="14" spans="2:12">
      <c r="B14" s="56"/>
      <c r="C14" s="125" t="s">
        <v>114</v>
      </c>
      <c r="D14" s="56"/>
      <c r="E14" s="56"/>
      <c r="F14" s="31"/>
      <c r="G14" s="31"/>
      <c r="H14" s="242">
        <f>BS!H28-BS!G28</f>
        <v>12.227638233863047</v>
      </c>
      <c r="I14" s="242">
        <f>BS!I28-BS!H28</f>
        <v>14.70248841824872</v>
      </c>
      <c r="J14" s="242">
        <f>BS!J28-BS!I28</f>
        <v>14.921891515165385</v>
      </c>
      <c r="K14" s="242">
        <f>BS!K28-BS!J28</f>
        <v>17.532036320636564</v>
      </c>
      <c r="L14" s="242">
        <f>BS!L28-BS!K28</f>
        <v>17.754934925576322</v>
      </c>
    </row>
    <row r="15" spans="2:12">
      <c r="B15" s="56"/>
      <c r="C15" s="125" t="s">
        <v>151</v>
      </c>
      <c r="D15" s="56"/>
      <c r="E15" s="56"/>
      <c r="F15" s="175"/>
      <c r="G15" s="12"/>
      <c r="H15" s="230">
        <f>(BS!H30-BS!G30)+(BS!H34-BS!G34)</f>
        <v>459.805829972428</v>
      </c>
      <c r="I15" s="230">
        <f>(BS!I30-BS!H30)+(BS!I34-BS!H34)</f>
        <v>505.0411435249257</v>
      </c>
      <c r="J15" s="230">
        <f>(BS!J30-BS!I30)+(BS!J34-BS!I34)</f>
        <v>522.57470185885313</v>
      </c>
      <c r="K15" s="230">
        <f>(BS!K30-BS!J30)+(BS!K34-BS!J34)</f>
        <v>586.9682672975996</v>
      </c>
      <c r="L15" s="230">
        <f>(BS!L30-BS!K30)+(BS!L34-BS!K34)</f>
        <v>606.21384247063725</v>
      </c>
    </row>
    <row r="16" spans="2:12">
      <c r="B16" s="56"/>
      <c r="C16" s="227" t="s">
        <v>139</v>
      </c>
      <c r="D16" s="56"/>
      <c r="E16" s="56"/>
      <c r="F16" s="162"/>
      <c r="G16" s="162"/>
      <c r="H16" s="920">
        <f>SUM(H8:H15)</f>
        <v>7466.422027458244</v>
      </c>
      <c r="I16" s="920">
        <f>SUM(I8:I15)</f>
        <v>7426.235449788348</v>
      </c>
      <c r="J16" s="920">
        <f>SUM(J8:J15)</f>
        <v>7550.6884907791646</v>
      </c>
      <c r="K16" s="920">
        <f>SUM(K8:K15)</f>
        <v>7842.2969281012838</v>
      </c>
      <c r="L16" s="920">
        <f>SUM(L8:L15)</f>
        <v>8228.5418229642019</v>
      </c>
    </row>
    <row r="17" spans="2:12">
      <c r="B17" s="78"/>
      <c r="C17" s="56"/>
      <c r="D17" s="56"/>
      <c r="E17" s="56"/>
      <c r="F17" s="87"/>
      <c r="G17" s="87"/>
      <c r="H17" s="87"/>
      <c r="I17" s="87"/>
      <c r="J17" s="87"/>
      <c r="K17" s="87"/>
      <c r="L17" s="87"/>
    </row>
    <row r="18" spans="2:12">
      <c r="B18" s="121" t="s">
        <v>140</v>
      </c>
      <c r="C18" s="56"/>
      <c r="D18" s="56"/>
      <c r="E18" s="56"/>
      <c r="F18" s="29"/>
      <c r="G18" s="29"/>
      <c r="H18" s="98"/>
      <c r="I18" s="98"/>
      <c r="J18" s="98"/>
      <c r="K18" s="98"/>
      <c r="L18" s="98"/>
    </row>
    <row r="19" spans="2:12">
      <c r="B19" s="11"/>
      <c r="C19" s="125" t="s">
        <v>152</v>
      </c>
      <c r="D19" s="56"/>
      <c r="E19" s="56"/>
      <c r="F19" s="31"/>
      <c r="G19" s="31"/>
      <c r="H19" s="242">
        <f>-('D&amp;A Schedule'!G22)</f>
        <v>-823.57646592000003</v>
      </c>
      <c r="I19" s="242">
        <f>-('D&amp;A Schedule'!H22)</f>
        <v>-856.53332789759986</v>
      </c>
      <c r="J19" s="242">
        <f>-('D&amp;A Schedule'!I22)</f>
        <v>-895.64534299852789</v>
      </c>
      <c r="K19" s="242">
        <f>-('D&amp;A Schedule'!J22)</f>
        <v>-941.84115324240395</v>
      </c>
      <c r="L19" s="242">
        <f>-('D&amp;A Schedule'!K22)</f>
        <v>-990.40814055982946</v>
      </c>
    </row>
    <row r="20" spans="2:12">
      <c r="B20" s="56"/>
      <c r="C20" s="125" t="s">
        <v>238</v>
      </c>
      <c r="D20" s="56"/>
      <c r="E20" s="56"/>
      <c r="F20" s="32"/>
      <c r="G20" s="32"/>
      <c r="H20" s="226">
        <f>(BS!G12-BS!H12)+(BS!G13-BS!H13)</f>
        <v>-1549.5546599397057</v>
      </c>
      <c r="I20" s="226">
        <f>(BS!H12-BS!I12)+(BS!H13-BS!I13)</f>
        <v>-1860.5214296209169</v>
      </c>
      <c r="J20" s="226">
        <f>(BS!I12-BS!J12)+(BS!I13-BS!J13)</f>
        <v>-2207.9997270490458</v>
      </c>
      <c r="K20" s="226">
        <f>(BS!J12-BS!K12)+(BS!J13-BS!K13)</f>
        <v>-2607.9028693887949</v>
      </c>
      <c r="L20" s="226">
        <f>(BS!K12-BS!L12)+(BS!K13-BS!L13)</f>
        <v>-2741.763482749484</v>
      </c>
    </row>
    <row r="21" spans="2:12">
      <c r="B21" s="56"/>
      <c r="C21" s="121" t="s">
        <v>141</v>
      </c>
      <c r="D21" s="56"/>
      <c r="E21" s="56"/>
      <c r="F21" s="162"/>
      <c r="G21" s="162"/>
      <c r="H21" s="920">
        <f>SUM(H19:H20)</f>
        <v>-2373.1311258597057</v>
      </c>
      <c r="I21" s="920">
        <f>SUM(I19:I20)</f>
        <v>-2717.0547575185169</v>
      </c>
      <c r="J21" s="920">
        <f>SUM(J19:J20)</f>
        <v>-3103.6450700475734</v>
      </c>
      <c r="K21" s="920">
        <f>SUM(K19:K20)</f>
        <v>-3549.7440226311987</v>
      </c>
      <c r="L21" s="920">
        <f>SUM(L19:L20)</f>
        <v>-3732.1716233093134</v>
      </c>
    </row>
    <row r="22" spans="2:12">
      <c r="B22" s="17"/>
      <c r="C22" s="56"/>
      <c r="D22" s="56"/>
      <c r="E22" s="56"/>
      <c r="F22" s="633"/>
      <c r="G22" s="633"/>
      <c r="H22" s="37"/>
      <c r="I22" s="37"/>
      <c r="J22" s="37"/>
      <c r="K22" s="37"/>
      <c r="L22" s="37"/>
    </row>
    <row r="23" spans="2:12">
      <c r="B23" s="229" t="s">
        <v>142</v>
      </c>
      <c r="C23" s="56"/>
      <c r="D23" s="56"/>
      <c r="E23" s="56"/>
      <c r="F23" s="16"/>
      <c r="G23" s="16"/>
      <c r="H23" s="39"/>
      <c r="I23" s="39"/>
      <c r="J23" s="39"/>
      <c r="K23" s="39"/>
      <c r="L23" s="39"/>
    </row>
    <row r="24" spans="2:12">
      <c r="B24" s="17"/>
      <c r="C24" s="125" t="s">
        <v>153</v>
      </c>
      <c r="D24" s="56"/>
      <c r="E24" s="56"/>
      <c r="F24" s="32"/>
      <c r="G24" s="32"/>
      <c r="H24" s="242">
        <f>-('Equity Schedule'!H9*Assumptions!$N$10)</f>
        <v>-4999.9999999999991</v>
      </c>
      <c r="I24" s="242">
        <f>-('Equity Schedule'!I9*Assumptions!$N$10)</f>
        <v>-4999.9999999999991</v>
      </c>
      <c r="J24" s="242">
        <f>-('Equity Schedule'!J9*Assumptions!$N$10)</f>
        <v>-4999.9999999999991</v>
      </c>
      <c r="K24" s="242">
        <f>-('Equity Schedule'!K9*Assumptions!$N$10)</f>
        <v>-4999.9999999999991</v>
      </c>
      <c r="L24" s="242">
        <f>-('Equity Schedule'!L9*Assumptions!$N$10)</f>
        <v>-4999.9999999999991</v>
      </c>
    </row>
    <row r="25" spans="2:12">
      <c r="B25" s="17"/>
      <c r="C25" s="125" t="s">
        <v>154</v>
      </c>
      <c r="D25" s="56"/>
      <c r="E25" s="56"/>
      <c r="F25" s="32"/>
      <c r="G25" s="32"/>
      <c r="H25" s="99">
        <f>'Debt Schedule'!H19</f>
        <v>-1397</v>
      </c>
      <c r="I25" s="99">
        <f>'Debt Schedule'!I19</f>
        <v>-1075</v>
      </c>
      <c r="J25" s="99">
        <f>'Debt Schedule'!J19</f>
        <v>-1137</v>
      </c>
      <c r="K25" s="99">
        <f>'Debt Schedule'!K19</f>
        <v>-1500</v>
      </c>
      <c r="L25" s="99">
        <f>'Debt Schedule'!L19</f>
        <v>-1000</v>
      </c>
    </row>
    <row r="26" spans="2:12">
      <c r="B26" s="17"/>
      <c r="C26" s="125" t="s">
        <v>242</v>
      </c>
      <c r="D26" s="56"/>
      <c r="E26" s="56"/>
      <c r="F26" s="32"/>
      <c r="G26" s="32"/>
      <c r="H26" s="242">
        <f>-('Equity Schedule'!H13)</f>
        <v>-467.32856898615154</v>
      </c>
      <c r="I26" s="242">
        <f>-('Equity Schedule'!I13)</f>
        <v>-419.45713797230303</v>
      </c>
      <c r="J26" s="242">
        <f>-('Equity Schedule'!J13)</f>
        <v>-371.58570695845452</v>
      </c>
      <c r="K26" s="242">
        <f>-('Equity Schedule'!K13)</f>
        <v>-323.71427594460602</v>
      </c>
      <c r="L26" s="242">
        <f>-('Equity Schedule'!L13)</f>
        <v>-275.84284493075751</v>
      </c>
    </row>
    <row r="27" spans="2:12">
      <c r="B27" s="17"/>
      <c r="C27" s="125" t="s">
        <v>237</v>
      </c>
      <c r="D27" s="56"/>
      <c r="E27" s="56"/>
      <c r="F27" s="32"/>
      <c r="G27" s="32"/>
      <c r="H27" s="226">
        <f>BS!H29-BS!G29</f>
        <v>1385.9246667020416</v>
      </c>
      <c r="I27" s="226">
        <f>BS!I29-BS!H29</f>
        <v>1664.0539433050435</v>
      </c>
      <c r="J27" s="226">
        <f>BS!J29-BS!I29</f>
        <v>1974.8392005143687</v>
      </c>
      <c r="K27" s="226">
        <f>BS!K29-BS!J29</f>
        <v>2332.5133397937607</v>
      </c>
      <c r="L27" s="226">
        <f>BS!L29-BS!K29</f>
        <v>2452.2385297161745</v>
      </c>
    </row>
    <row r="28" spans="2:12">
      <c r="B28" s="17"/>
      <c r="C28" s="121" t="s">
        <v>143</v>
      </c>
      <c r="D28" s="56"/>
      <c r="E28" s="56"/>
      <c r="F28" s="162"/>
      <c r="G28" s="162"/>
      <c r="H28" s="920">
        <f>SUM(H24:H27)</f>
        <v>-5478.4039022841089</v>
      </c>
      <c r="I28" s="920">
        <f>SUM(I24:I27)</f>
        <v>-4830.4031946672585</v>
      </c>
      <c r="J28" s="920">
        <f>SUM(J24:J27)</f>
        <v>-4533.7465064440848</v>
      </c>
      <c r="K28" s="920">
        <f>SUM(K24:K27)</f>
        <v>-4491.2009361508444</v>
      </c>
      <c r="L28" s="920">
        <f>SUM(L24:L27)</f>
        <v>-3823.6043152145821</v>
      </c>
    </row>
    <row r="29" spans="2:12">
      <c r="B29" s="17"/>
      <c r="C29" s="56"/>
      <c r="D29" s="56"/>
      <c r="E29" s="56"/>
      <c r="F29" s="38"/>
      <c r="G29" s="38"/>
      <c r="H29" s="38"/>
      <c r="I29" s="38"/>
      <c r="J29" s="38"/>
      <c r="K29" s="38"/>
      <c r="L29" s="38"/>
    </row>
    <row r="30" spans="2:12">
      <c r="B30" s="56"/>
      <c r="C30" s="13"/>
      <c r="D30" s="56"/>
      <c r="E30" s="56"/>
      <c r="F30" s="38"/>
      <c r="G30" s="38"/>
      <c r="H30" s="38"/>
      <c r="I30" s="38"/>
      <c r="J30" s="38"/>
      <c r="K30" s="38"/>
      <c r="L30" s="38"/>
    </row>
    <row r="31" spans="2:12">
      <c r="B31" s="245" t="s">
        <v>144</v>
      </c>
      <c r="C31" s="40"/>
      <c r="D31" s="88"/>
      <c r="E31" s="88"/>
      <c r="F31" s="287"/>
      <c r="G31" s="287"/>
      <c r="H31" s="907">
        <f>H28+H21+H16</f>
        <v>-385.11300068557102</v>
      </c>
      <c r="I31" s="907">
        <f>I28+I21+I16</f>
        <v>-121.22250239742789</v>
      </c>
      <c r="J31" s="907">
        <f>J28+J21+J16</f>
        <v>-86.703085712493703</v>
      </c>
      <c r="K31" s="907">
        <f>K28+K21+K16</f>
        <v>-198.6480306807598</v>
      </c>
      <c r="L31" s="908">
        <f>L28+L21+L16</f>
        <v>672.76588444030676</v>
      </c>
    </row>
    <row r="32" spans="2:12">
      <c r="B32" s="198" t="s">
        <v>145</v>
      </c>
      <c r="C32" s="13"/>
      <c r="D32" s="56"/>
      <c r="E32" s="56"/>
      <c r="F32" s="288"/>
      <c r="G32" s="288"/>
      <c r="H32" s="909">
        <f>BS!G9</f>
        <v>10422</v>
      </c>
      <c r="I32" s="910">
        <f t="shared" ref="I32:L32" si="0">+H33</f>
        <v>10036.886999314429</v>
      </c>
      <c r="J32" s="910">
        <f t="shared" si="0"/>
        <v>9915.6644969170011</v>
      </c>
      <c r="K32" s="910">
        <f t="shared" si="0"/>
        <v>9828.9614112045074</v>
      </c>
      <c r="L32" s="911">
        <f t="shared" si="0"/>
        <v>9630.3133805237485</v>
      </c>
    </row>
    <row r="33" spans="2:12">
      <c r="B33" s="246" t="s">
        <v>146</v>
      </c>
      <c r="C33" s="41"/>
      <c r="D33" s="95"/>
      <c r="E33" s="95"/>
      <c r="F33" s="289"/>
      <c r="G33" s="289"/>
      <c r="H33" s="912">
        <f t="shared" ref="H33:L33" si="1">H32+H31</f>
        <v>10036.886999314429</v>
      </c>
      <c r="I33" s="912">
        <f t="shared" si="1"/>
        <v>9915.6644969170011</v>
      </c>
      <c r="J33" s="912">
        <f t="shared" si="1"/>
        <v>9828.9614112045074</v>
      </c>
      <c r="K33" s="912">
        <f t="shared" si="1"/>
        <v>9630.3133805237485</v>
      </c>
      <c r="L33" s="913">
        <f t="shared" si="1"/>
        <v>10303.079264964055</v>
      </c>
    </row>
    <row r="34" spans="2:12"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</row>
    <row r="35" spans="2:12"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</row>
    <row r="36" spans="2:12"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</row>
    <row r="37" spans="2:12"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</row>
    <row r="38" spans="2:12"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</row>
    <row r="39" spans="2:12"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</row>
    <row r="40" spans="2:12"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</row>
    <row r="41" spans="2:12"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</row>
    <row r="42" spans="2:12"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</row>
    <row r="43" spans="2:12"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</row>
  </sheetData>
  <printOptions horizontalCentered="1"/>
  <pageMargins left="0.7" right="0.7" top="0.75" bottom="0.75" header="0.3" footer="0.3"/>
  <pageSetup scale="86" fitToHeight="0" orientation="landscape" r:id="rId1"/>
  <headerFooter differentOddEven="1">
    <oddFooter>&amp;L&amp;"Arial"&amp;8Tyler Spencer&amp;C&amp;"Arial"&amp;8&amp;INot associated with PayPal. For educational purposes only.&amp;R&amp;"Arial"&amp;8Page &amp;P</oddFooter>
    <evenFooter>&amp;L&amp;"Arial"&amp;8Tyler Spencer&amp;C&amp;"Arial"&amp;8&amp;INot associated with PayPal. For educational purposes only.&amp;R&amp;"Arial"&amp;8Page &amp;P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DC9DF-95AA-4F02-B88A-9B03FAC2646F}">
  <sheetPr>
    <pageSetUpPr fitToPage="1"/>
  </sheetPr>
  <dimension ref="A1:AQ35"/>
  <sheetViews>
    <sheetView workbookViewId="0">
      <selection activeCell="I9" sqref="I9"/>
    </sheetView>
  </sheetViews>
  <sheetFormatPr defaultColWidth="8.88671875" defaultRowHeight="14.4"/>
  <cols>
    <col min="1" max="1" width="2.6640625" style="56" customWidth="1"/>
    <col min="2" max="2" width="3.6640625" style="161" customWidth="1"/>
    <col min="3" max="3" width="29.88671875" style="161" customWidth="1"/>
    <col min="4" max="4" width="6.5546875" style="161" customWidth="1"/>
    <col min="5" max="12" width="12.33203125" style="161" customWidth="1"/>
    <col min="13" max="13" width="8.88671875" style="161"/>
    <col min="14" max="16384" width="8.88671875" style="1"/>
  </cols>
  <sheetData>
    <row r="1" spans="1:43" ht="12.75" customHeight="1">
      <c r="B1" s="291"/>
      <c r="C1" s="59"/>
      <c r="D1" s="59"/>
      <c r="E1" s="59"/>
      <c r="F1" s="59"/>
      <c r="G1" s="59"/>
      <c r="H1" s="59"/>
      <c r="I1" s="218"/>
      <c r="J1" s="58"/>
      <c r="K1" s="59"/>
      <c r="L1" s="727" t="str">
        <f>"CURRENTLY RUNNING: "&amp;UPPER(CHOOSE(Scenarios!$C$6,Scenarios!B10,Scenarios!B11,Scenarios!B12))&amp;" SCENARIO"</f>
        <v>CURRENTLY RUNNING: BASE CASE SCENARIO</v>
      </c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</row>
    <row r="2" spans="1:43" ht="22.8">
      <c r="A2" s="55"/>
      <c r="B2" s="201" t="s">
        <v>87</v>
      </c>
      <c r="C2" s="59"/>
      <c r="D2" s="59"/>
      <c r="E2" s="59"/>
      <c r="F2" s="59"/>
      <c r="G2" s="59"/>
      <c r="H2" s="59"/>
      <c r="I2" s="59"/>
      <c r="J2" s="59"/>
      <c r="K2" s="59"/>
      <c r="L2" s="58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</row>
    <row r="3" spans="1:43" ht="18" thickBot="1">
      <c r="A3" s="55"/>
      <c r="B3" s="219" t="s">
        <v>402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</row>
    <row r="4" spans="1:43">
      <c r="B4" s="220" t="s">
        <v>93</v>
      </c>
      <c r="C4" s="56"/>
      <c r="D4" s="56"/>
      <c r="E4" s="56"/>
      <c r="F4" s="56"/>
      <c r="G4" s="56"/>
      <c r="H4" s="56"/>
      <c r="I4" s="56"/>
      <c r="J4" s="56"/>
      <c r="K4" s="56"/>
      <c r="L4" s="77"/>
      <c r="M4" s="56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</row>
    <row r="5" spans="1:43">
      <c r="B5" s="56"/>
      <c r="C5" s="56"/>
      <c r="D5" s="56"/>
      <c r="E5" s="79"/>
      <c r="F5" s="79"/>
      <c r="G5" s="79"/>
      <c r="H5" s="202" t="s">
        <v>94</v>
      </c>
      <c r="I5" s="75"/>
      <c r="J5" s="75"/>
      <c r="K5" s="75"/>
      <c r="L5" s="75"/>
      <c r="M5" s="56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</row>
    <row r="6" spans="1:43" ht="12" customHeight="1">
      <c r="B6" s="56"/>
      <c r="C6" s="56"/>
      <c r="D6" s="56"/>
      <c r="E6" s="221">
        <f>IS!E6</f>
        <v>2023</v>
      </c>
      <c r="F6" s="221">
        <f>IS!F6</f>
        <v>2024</v>
      </c>
      <c r="G6" s="221">
        <f>IS!G6</f>
        <v>2025</v>
      </c>
      <c r="H6" s="256">
        <f>IS!H6</f>
        <v>2026</v>
      </c>
      <c r="I6" s="256">
        <f>IS!I6</f>
        <v>2027</v>
      </c>
      <c r="J6" s="256">
        <f>IS!J6</f>
        <v>2028</v>
      </c>
      <c r="K6" s="256">
        <f>IS!K6</f>
        <v>2029</v>
      </c>
      <c r="L6" s="256">
        <f>IS!L6</f>
        <v>2030</v>
      </c>
      <c r="M6" s="56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</row>
    <row r="7" spans="1:43" ht="12" customHeight="1"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</row>
    <row r="8" spans="1:43">
      <c r="B8" s="292" t="s">
        <v>403</v>
      </c>
      <c r="C8" s="293"/>
      <c r="D8" s="293"/>
      <c r="E8" s="293"/>
      <c r="F8" s="247">
        <f>DATE(F6,12,31)-DATE(E6,12,31)</f>
        <v>366</v>
      </c>
      <c r="G8" s="247">
        <f t="shared" ref="G8:L8" si="0">DATE(G6,12,31)-DATE(F6,12,31)</f>
        <v>365</v>
      </c>
      <c r="H8" s="247">
        <f t="shared" si="0"/>
        <v>365</v>
      </c>
      <c r="I8" s="247">
        <f t="shared" si="0"/>
        <v>365</v>
      </c>
      <c r="J8" s="247">
        <f t="shared" si="0"/>
        <v>366</v>
      </c>
      <c r="K8" s="247">
        <f t="shared" si="0"/>
        <v>365</v>
      </c>
      <c r="L8" s="248">
        <f t="shared" si="0"/>
        <v>365</v>
      </c>
      <c r="M8" s="56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</row>
    <row r="9" spans="1:43"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</row>
    <row r="10" spans="1:43">
      <c r="B10" s="121" t="s">
        <v>330</v>
      </c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</row>
    <row r="11" spans="1:43">
      <c r="B11" s="56"/>
      <c r="C11" s="125" t="s">
        <v>95</v>
      </c>
      <c r="D11" s="56"/>
      <c r="E11" s="56"/>
      <c r="F11" s="99">
        <f>IS!F8</f>
        <v>31797</v>
      </c>
      <c r="G11" s="99">
        <f>IS!G8</f>
        <v>33172</v>
      </c>
      <c r="H11" s="99">
        <f>IS!H8</f>
        <v>34315.686079999999</v>
      </c>
      <c r="I11" s="99">
        <f>IS!I8</f>
        <v>35688.888662399993</v>
      </c>
      <c r="J11" s="99">
        <f>IS!J8</f>
        <v>37318.555958271994</v>
      </c>
      <c r="K11" s="99">
        <f>IS!K8</f>
        <v>39243.381385100161</v>
      </c>
      <c r="L11" s="99">
        <f>IS!L8</f>
        <v>41267.005856659562</v>
      </c>
      <c r="M11" s="56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</row>
    <row r="12" spans="1:43">
      <c r="B12" s="56"/>
      <c r="C12" s="125" t="s">
        <v>404</v>
      </c>
      <c r="D12" s="56"/>
      <c r="E12" s="56"/>
      <c r="F12" s="242">
        <f>-(IS!F9+IS!F10+IS!F11)</f>
        <v>18907</v>
      </c>
      <c r="G12" s="242">
        <f>-(IS!G9+IS!G10+IS!G11)</f>
        <v>19411</v>
      </c>
      <c r="H12" s="242">
        <f>-(IS!H9+IS!H10+IS!H11)</f>
        <v>20458.463990080003</v>
      </c>
      <c r="I12" s="242">
        <f>-(IS!I9+IS!I10+IS!I11)</f>
        <v>21650.999161782398</v>
      </c>
      <c r="J12" s="242">
        <f>-(IS!J9+IS!J10+IS!J11)</f>
        <v>22923.964144271875</v>
      </c>
      <c r="K12" s="242">
        <f>-(IS!K9+IS!K10+IS!K11)</f>
        <v>24283.373308464114</v>
      </c>
      <c r="L12" s="242">
        <f>-(IS!L9+IS!L10+IS!L11)</f>
        <v>25723.495807983079</v>
      </c>
      <c r="M12" s="56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</row>
    <row r="13" spans="1:43"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</row>
    <row r="14" spans="1:43">
      <c r="B14" s="135" t="s">
        <v>405</v>
      </c>
      <c r="C14" s="85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</row>
    <row r="15" spans="1:43">
      <c r="B15" s="76"/>
      <c r="C15" s="230" t="s">
        <v>578</v>
      </c>
      <c r="D15" s="56"/>
      <c r="E15" s="153"/>
      <c r="F15" s="242">
        <f>F21/F11*F8</f>
        <v>11.326351542598358</v>
      </c>
      <c r="G15" s="242">
        <f>G21/G11*G8</f>
        <v>9.2427348366091895</v>
      </c>
      <c r="H15" s="99">
        <f>Assumptions!J68</f>
        <v>9.1999999999999993</v>
      </c>
      <c r="I15" s="99">
        <f>Assumptions!K68</f>
        <v>9.1999999999999993</v>
      </c>
      <c r="J15" s="99">
        <f>Assumptions!L68</f>
        <v>9.1999999999999993</v>
      </c>
      <c r="K15" s="99">
        <f>Assumptions!M68</f>
        <v>9.1999999999999993</v>
      </c>
      <c r="L15" s="99">
        <f>Assumptions!N68</f>
        <v>9.1999999999999993</v>
      </c>
      <c r="M15" s="56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</row>
    <row r="16" spans="1:43">
      <c r="B16" s="76"/>
      <c r="C16" s="294" t="s">
        <v>579</v>
      </c>
      <c r="D16" s="56"/>
      <c r="E16" s="794"/>
      <c r="F16" s="230">
        <f>F22/F12*F8</f>
        <v>32.21156185539747</v>
      </c>
      <c r="G16" s="230">
        <f>G22/G12*G8</f>
        <v>34.354489722322391</v>
      </c>
      <c r="H16" s="54">
        <f>Assumptions!J69</f>
        <v>34.4</v>
      </c>
      <c r="I16" s="54">
        <f>Assumptions!K69</f>
        <v>34.4</v>
      </c>
      <c r="J16" s="54">
        <f>Assumptions!L69</f>
        <v>34.4</v>
      </c>
      <c r="K16" s="54">
        <f>Assumptions!M69</f>
        <v>34.4</v>
      </c>
      <c r="L16" s="54">
        <f>Assumptions!N69</f>
        <v>34.4</v>
      </c>
      <c r="M16" s="56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</row>
    <row r="17" spans="2:43">
      <c r="B17" s="76"/>
      <c r="C17" s="230" t="s">
        <v>580</v>
      </c>
      <c r="D17" s="56"/>
      <c r="E17" s="794"/>
      <c r="F17" s="230">
        <f>F23/F12*F8</f>
        <v>4.3942455175331885</v>
      </c>
      <c r="G17" s="230">
        <f>G23/G12*G8</f>
        <v>4.5129050538354543</v>
      </c>
      <c r="H17" s="54">
        <f>Assumptions!J70</f>
        <v>4.5</v>
      </c>
      <c r="I17" s="54">
        <f>Assumptions!K70</f>
        <v>4.5</v>
      </c>
      <c r="J17" s="54">
        <f>Assumptions!L70</f>
        <v>4.5</v>
      </c>
      <c r="K17" s="54">
        <f>Assumptions!M70</f>
        <v>4.5</v>
      </c>
      <c r="L17" s="54">
        <f>Assumptions!N70</f>
        <v>4.5</v>
      </c>
      <c r="M17" s="56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</row>
    <row r="18" spans="2:43">
      <c r="B18" s="76"/>
      <c r="C18" s="230" t="s">
        <v>581</v>
      </c>
      <c r="D18" s="56"/>
      <c r="E18" s="153"/>
      <c r="F18" s="242">
        <f>F24/F12*F8</f>
        <v>85.194160892791032</v>
      </c>
      <c r="G18" s="242">
        <f>G24/G12*G8</f>
        <v>86.66658080469837</v>
      </c>
      <c r="H18" s="99">
        <f>Assumptions!J71</f>
        <v>86.7</v>
      </c>
      <c r="I18" s="99">
        <f>Assumptions!K71</f>
        <v>86.7</v>
      </c>
      <c r="J18" s="99">
        <f>Assumptions!L71</f>
        <v>86.7</v>
      </c>
      <c r="K18" s="99">
        <f>Assumptions!M71</f>
        <v>86.7</v>
      </c>
      <c r="L18" s="99">
        <f>Assumptions!N71</f>
        <v>86.7</v>
      </c>
      <c r="M18" s="56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</row>
    <row r="19" spans="2:43">
      <c r="B19" s="76"/>
      <c r="C19" s="85"/>
      <c r="D19" s="56"/>
      <c r="E19" s="160"/>
      <c r="F19" s="160"/>
      <c r="G19" s="160"/>
      <c r="H19" s="160"/>
      <c r="I19" s="160"/>
      <c r="J19" s="160"/>
      <c r="K19" s="160"/>
      <c r="L19" s="160"/>
      <c r="M19" s="56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</row>
    <row r="20" spans="2:43">
      <c r="B20" s="135" t="s">
        <v>409</v>
      </c>
      <c r="C20" s="85"/>
      <c r="D20" s="56"/>
      <c r="E20" s="160"/>
      <c r="F20" s="160"/>
      <c r="G20" s="160"/>
      <c r="H20" s="160"/>
      <c r="I20" s="160"/>
      <c r="J20" s="160"/>
      <c r="K20" s="160"/>
      <c r="L20" s="160"/>
      <c r="M20" s="56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</row>
    <row r="21" spans="2:43">
      <c r="B21" s="76"/>
      <c r="C21" s="230" t="s">
        <v>406</v>
      </c>
      <c r="D21" s="56"/>
      <c r="E21" s="56"/>
      <c r="F21" s="144">
        <v>984</v>
      </c>
      <c r="G21" s="144">
        <v>840</v>
      </c>
      <c r="H21" s="242">
        <f>H11/H8*H15</f>
        <v>864.94332037260267</v>
      </c>
      <c r="I21" s="242">
        <f t="shared" ref="I21:L21" si="1">I11/I8*I15</f>
        <v>899.55554984679429</v>
      </c>
      <c r="J21" s="242">
        <f t="shared" si="1"/>
        <v>938.06206233907733</v>
      </c>
      <c r="K21" s="242">
        <f t="shared" si="1"/>
        <v>989.14824313129168</v>
      </c>
      <c r="L21" s="242">
        <f t="shared" si="1"/>
        <v>1040.1546681678574</v>
      </c>
      <c r="M21" s="56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</row>
    <row r="22" spans="2:43">
      <c r="B22" s="76"/>
      <c r="C22" s="294" t="s">
        <v>407</v>
      </c>
      <c r="D22" s="56"/>
      <c r="E22" s="56"/>
      <c r="F22" s="144">
        <v>1664</v>
      </c>
      <c r="G22" s="144">
        <v>1827</v>
      </c>
      <c r="H22" s="242">
        <f>H12/H8*H16</f>
        <v>1928.1401678321974</v>
      </c>
      <c r="I22" s="242">
        <f t="shared" ref="I22:L22" si="2">I12/I8*I16</f>
        <v>2040.5325237405875</v>
      </c>
      <c r="J22" s="242">
        <f t="shared" si="2"/>
        <v>2154.6020944342963</v>
      </c>
      <c r="K22" s="242">
        <f t="shared" si="2"/>
        <v>2288.6247720853848</v>
      </c>
      <c r="L22" s="242">
        <f t="shared" si="2"/>
        <v>2424.3513857386793</v>
      </c>
      <c r="M22" s="56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</row>
    <row r="23" spans="2:43">
      <c r="B23" s="76"/>
      <c r="C23" s="230" t="s">
        <v>114</v>
      </c>
      <c r="D23" s="56"/>
      <c r="E23" s="56"/>
      <c r="F23" s="295">
        <v>227</v>
      </c>
      <c r="G23" s="295">
        <v>240</v>
      </c>
      <c r="H23" s="230">
        <f>H12/H8*H17</f>
        <v>252.22763823386305</v>
      </c>
      <c r="I23" s="230">
        <f>I12/I8*I17</f>
        <v>266.93012665211177</v>
      </c>
      <c r="J23" s="230">
        <f>J12/J8*J17</f>
        <v>281.85201816727715</v>
      </c>
      <c r="K23" s="230">
        <f>K12/K8*K17</f>
        <v>299.38405448791372</v>
      </c>
      <c r="L23" s="230">
        <f>L12/L8*L17</f>
        <v>317.13898941349004</v>
      </c>
      <c r="M23" s="56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</row>
    <row r="24" spans="2:43">
      <c r="B24" s="76"/>
      <c r="C24" s="176" t="s">
        <v>130</v>
      </c>
      <c r="D24" s="56"/>
      <c r="E24" s="56"/>
      <c r="F24" s="225">
        <v>4401</v>
      </c>
      <c r="G24" s="225">
        <v>4609</v>
      </c>
      <c r="H24" s="228">
        <f>H12/H8*H18</f>
        <v>4859.5858299724277</v>
      </c>
      <c r="I24" s="228">
        <f>I12/I8*I18</f>
        <v>5142.8537734973534</v>
      </c>
      <c r="J24" s="228">
        <f>J12/J8*J18</f>
        <v>5430.348883356206</v>
      </c>
      <c r="K24" s="228">
        <f>K12/K8*K18</f>
        <v>5768.1327831338049</v>
      </c>
      <c r="L24" s="228">
        <f>L12/L8*L18</f>
        <v>6110.2111960332422</v>
      </c>
      <c r="M24" s="56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</row>
    <row r="25" spans="2:43">
      <c r="B25" s="76"/>
      <c r="C25" s="232" t="s">
        <v>410</v>
      </c>
      <c r="D25" s="11"/>
      <c r="E25" s="56"/>
      <c r="F25" s="135">
        <f>SUM(F21:F22)-SUM(F23:F24)</f>
        <v>-1980</v>
      </c>
      <c r="G25" s="135">
        <f t="shared" ref="G25:L25" si="3">SUM(G21:G22)-SUM(G23:G24)</f>
        <v>-2182</v>
      </c>
      <c r="H25" s="135">
        <f t="shared" si="3"/>
        <v>-2318.7299800014907</v>
      </c>
      <c r="I25" s="135">
        <f t="shared" si="3"/>
        <v>-2469.6958265620833</v>
      </c>
      <c r="J25" s="135">
        <f t="shared" si="3"/>
        <v>-2619.5367447501098</v>
      </c>
      <c r="K25" s="135">
        <f t="shared" si="3"/>
        <v>-2789.7438224050425</v>
      </c>
      <c r="L25" s="135">
        <f t="shared" si="3"/>
        <v>-2962.8441315401956</v>
      </c>
      <c r="M25" s="56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</row>
    <row r="26" spans="2:43">
      <c r="B26" s="76"/>
      <c r="C26" s="85"/>
      <c r="D26" s="56"/>
      <c r="E26" s="160"/>
      <c r="F26" s="160"/>
      <c r="G26" s="160"/>
      <c r="H26" s="160"/>
      <c r="I26" s="160"/>
      <c r="J26" s="160"/>
      <c r="K26" s="160"/>
      <c r="L26" s="160"/>
      <c r="M26" s="56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</row>
    <row r="27" spans="2:43" ht="15" thickBot="1">
      <c r="B27" s="232" t="s">
        <v>411</v>
      </c>
      <c r="C27" s="76"/>
      <c r="D27" s="56"/>
      <c r="E27" s="160"/>
      <c r="F27" s="160"/>
      <c r="G27" s="296">
        <f>F25-G25</f>
        <v>202</v>
      </c>
      <c r="H27" s="296">
        <f t="shared" ref="H27:L27" si="4">G25-H25</f>
        <v>136.72998000149073</v>
      </c>
      <c r="I27" s="296">
        <f t="shared" si="4"/>
        <v>150.96584656059258</v>
      </c>
      <c r="J27" s="296">
        <f t="shared" si="4"/>
        <v>149.84091818802654</v>
      </c>
      <c r="K27" s="296">
        <f t="shared" si="4"/>
        <v>170.20707765493262</v>
      </c>
      <c r="L27" s="296">
        <f t="shared" si="4"/>
        <v>173.10030913515311</v>
      </c>
      <c r="M27" s="56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</row>
    <row r="28" spans="2:43" ht="15" thickTop="1">
      <c r="B28" s="14"/>
      <c r="C28" s="76"/>
      <c r="D28" s="56"/>
      <c r="E28" s="160"/>
      <c r="F28" s="160"/>
      <c r="G28" s="14"/>
      <c r="H28" s="14"/>
      <c r="I28" s="14"/>
      <c r="J28" s="14"/>
      <c r="K28" s="14"/>
      <c r="L28" s="14"/>
      <c r="M28" s="56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</row>
    <row r="29" spans="2:43">
      <c r="B29" s="232" t="s">
        <v>455</v>
      </c>
      <c r="C29" s="76"/>
      <c r="D29" s="56"/>
      <c r="E29" s="160"/>
      <c r="F29" s="160"/>
      <c r="G29" s="14"/>
      <c r="H29" s="14"/>
      <c r="I29" s="14"/>
      <c r="J29" s="14"/>
      <c r="K29" s="14"/>
      <c r="L29" s="14"/>
      <c r="M29" s="56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</row>
    <row r="30" spans="2:43">
      <c r="B30" s="14"/>
      <c r="C30" s="76"/>
      <c r="D30" s="56"/>
      <c r="E30" s="160"/>
      <c r="F30" s="160"/>
      <c r="G30" s="14"/>
      <c r="H30" s="14"/>
      <c r="I30" s="14"/>
      <c r="J30" s="14"/>
      <c r="K30" s="14"/>
      <c r="L30" s="14"/>
      <c r="M30" s="56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</row>
    <row r="31" spans="2:43">
      <c r="B31" s="76"/>
      <c r="C31" s="125" t="s">
        <v>124</v>
      </c>
      <c r="D31" s="56"/>
      <c r="E31" s="56"/>
      <c r="F31" s="36">
        <v>37671</v>
      </c>
      <c r="G31" s="36">
        <v>38198</v>
      </c>
      <c r="H31" s="242">
        <f>G31*(IS!H8/IS!G8)</f>
        <v>39514.969760154345</v>
      </c>
      <c r="I31" s="242">
        <f>H31*(IS!I8/IS!H8)</f>
        <v>41096.230831012741</v>
      </c>
      <c r="J31" s="242">
        <f>I31*(IS!J8/IS!I8)</f>
        <v>42972.8144366958</v>
      </c>
      <c r="K31" s="242">
        <f>J31*(IS!K8/IS!J8)</f>
        <v>45189.276563006613</v>
      </c>
      <c r="L31" s="242">
        <f>K31*(IS!L8/IS!K8)</f>
        <v>47519.507105772384</v>
      </c>
      <c r="M31" s="56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</row>
    <row r="32" spans="2:43">
      <c r="B32" s="76"/>
      <c r="C32" s="176" t="s">
        <v>129</v>
      </c>
      <c r="D32" s="56"/>
      <c r="E32" s="56"/>
      <c r="F32" s="163">
        <v>-39671</v>
      </c>
      <c r="G32" s="163">
        <v>-40198</v>
      </c>
      <c r="H32" s="228">
        <f>G32*(IS!H8/IS!G8)</f>
        <v>-41583.924666702042</v>
      </c>
      <c r="I32" s="228">
        <f>H32*(IS!I8/IS!H8)</f>
        <v>-43247.978610007085</v>
      </c>
      <c r="J32" s="228">
        <f>I32*(IS!J8/IS!I8)</f>
        <v>-45222.817810521454</v>
      </c>
      <c r="K32" s="228">
        <f>J32*(IS!K8/IS!J8)</f>
        <v>-47555.331150315214</v>
      </c>
      <c r="L32" s="228">
        <f>K32*(IS!L8/IS!K8)</f>
        <v>-50007.569680031389</v>
      </c>
      <c r="M32" s="56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</row>
    <row r="33" spans="2:43">
      <c r="B33" s="76"/>
      <c r="C33" s="229" t="s">
        <v>456</v>
      </c>
      <c r="D33" s="56"/>
      <c r="E33" s="56"/>
      <c r="F33" s="243">
        <f>F31+F32</f>
        <v>-2000</v>
      </c>
      <c r="G33" s="243">
        <f t="shared" ref="G33:L33" si="5">G31+G32</f>
        <v>-2000</v>
      </c>
      <c r="H33" s="243">
        <f t="shared" si="5"/>
        <v>-2068.9549065476967</v>
      </c>
      <c r="I33" s="243">
        <f t="shared" si="5"/>
        <v>-2151.7477789943441</v>
      </c>
      <c r="J33" s="243">
        <f t="shared" si="5"/>
        <v>-2250.0033738256534</v>
      </c>
      <c r="K33" s="243">
        <f t="shared" si="5"/>
        <v>-2366.0545873086012</v>
      </c>
      <c r="L33" s="243">
        <f t="shared" si="5"/>
        <v>-2488.0625742590055</v>
      </c>
      <c r="M33" s="56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</row>
    <row r="34" spans="2:43">
      <c r="B34" s="95"/>
      <c r="C34" s="84"/>
      <c r="D34" s="95"/>
      <c r="E34" s="95"/>
      <c r="F34" s="95"/>
      <c r="G34" s="95"/>
      <c r="H34" s="95"/>
      <c r="I34" s="95"/>
      <c r="J34" s="95"/>
      <c r="K34" s="95"/>
      <c r="L34" s="95"/>
      <c r="M34" s="56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</row>
    <row r="35" spans="2:43" ht="15" customHeight="1"/>
  </sheetData>
  <printOptions horizontalCentered="1"/>
  <pageMargins left="0.7" right="0.7" top="0.75" bottom="0.75" header="0.3" footer="0.3"/>
  <pageSetup scale="86" fitToHeight="0" orientation="landscape" r:id="rId1"/>
  <headerFooter differentOddEven="1">
    <oddFooter>&amp;L&amp;"Arial"&amp;8Tyler Spencer&amp;C&amp;"Arial"&amp;8&amp;INot associated with PayPal. For educational purposes only.&amp;R&amp;"Arial"&amp;8Page &amp;P</oddFooter>
    <evenFooter>&amp;L&amp;"Arial"&amp;8Tyler Spencer&amp;C&amp;"Arial"&amp;8&amp;INot associated with PayPal. For educational purposes only.&amp;R&amp;"Arial"&amp;8Page &amp;P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FA92A-B78D-4A97-A7C4-7CDEF6B74DE2}">
  <sheetPr>
    <pageSetUpPr fitToPage="1"/>
  </sheetPr>
  <dimension ref="A1:L30"/>
  <sheetViews>
    <sheetView zoomScale="85" zoomScaleNormal="85" workbookViewId="0">
      <selection activeCell="I9" sqref="I9"/>
    </sheetView>
  </sheetViews>
  <sheetFormatPr defaultColWidth="9.109375" defaultRowHeight="13.8"/>
  <cols>
    <col min="1" max="1" width="2.6640625" style="55" customWidth="1"/>
    <col min="2" max="2" width="3.6640625" style="55" customWidth="1"/>
    <col min="3" max="3" width="29.88671875" style="55" customWidth="1"/>
    <col min="4" max="11" width="12.33203125" style="55" customWidth="1"/>
    <col min="12" max="16384" width="9.109375" style="55"/>
  </cols>
  <sheetData>
    <row r="1" spans="1:12" s="56" customFormat="1" ht="14.4">
      <c r="H1"/>
      <c r="I1" s="218"/>
      <c r="K1" s="725" t="str">
        <f>"CURRENTLY RUNNING: "&amp;UPPER(CHOOSE(Scenarios!$C$6,Scenarios!B10,Scenarios!B11,Scenarios!B12))&amp;" SCENARIO"</f>
        <v>CURRENTLY RUNNING: BASE CASE SCENARIO</v>
      </c>
    </row>
    <row r="2" spans="1:12" ht="22.8">
      <c r="B2" s="201" t="str">
        <f>Cover!$B$7</f>
        <v>PayPal</v>
      </c>
      <c r="C2" s="57"/>
      <c r="D2" s="58"/>
      <c r="E2" s="58"/>
      <c r="F2" s="58"/>
      <c r="G2" s="58"/>
      <c r="H2" s="58"/>
      <c r="I2" s="58"/>
      <c r="J2" s="58"/>
      <c r="K2" s="59"/>
    </row>
    <row r="3" spans="1:12" ht="18" thickBot="1">
      <c r="B3" s="219" t="s">
        <v>161</v>
      </c>
      <c r="C3" s="3"/>
      <c r="D3" s="4"/>
      <c r="E3" s="4"/>
      <c r="F3" s="4"/>
      <c r="G3" s="4"/>
      <c r="H3" s="4"/>
      <c r="I3" s="4"/>
      <c r="J3" s="4"/>
      <c r="K3" s="4"/>
    </row>
    <row r="4" spans="1:12">
      <c r="A4" s="56"/>
      <c r="B4" s="220" t="s">
        <v>93</v>
      </c>
      <c r="C4" s="56"/>
      <c r="D4" s="56"/>
      <c r="E4" s="56"/>
      <c r="F4" s="56"/>
      <c r="G4" s="56"/>
      <c r="H4" s="56"/>
      <c r="I4" s="56"/>
      <c r="J4" s="56"/>
      <c r="K4" s="56"/>
      <c r="L4" s="56"/>
    </row>
    <row r="5" spans="1:12">
      <c r="A5" s="56"/>
      <c r="B5" s="56"/>
      <c r="C5" s="56"/>
      <c r="D5" s="56"/>
      <c r="E5" s="56"/>
      <c r="F5" s="56"/>
      <c r="G5" s="202" t="s">
        <v>94</v>
      </c>
      <c r="H5" s="75"/>
      <c r="I5" s="75"/>
      <c r="J5" s="75"/>
      <c r="K5" s="75"/>
      <c r="L5" s="56"/>
    </row>
    <row r="6" spans="1:12">
      <c r="A6" s="56"/>
      <c r="B6" s="56"/>
      <c r="C6" s="56"/>
      <c r="D6" s="56"/>
      <c r="E6" s="221">
        <f>IS!F6</f>
        <v>2024</v>
      </c>
      <c r="F6" s="221">
        <f>IS!G6</f>
        <v>2025</v>
      </c>
      <c r="G6" s="256">
        <f>IS!H6</f>
        <v>2026</v>
      </c>
      <c r="H6" s="256">
        <f>IS!I6</f>
        <v>2027</v>
      </c>
      <c r="I6" s="256">
        <f>IS!J6</f>
        <v>2028</v>
      </c>
      <c r="J6" s="256">
        <f>IS!K6</f>
        <v>2029</v>
      </c>
      <c r="K6" s="256">
        <f>IS!L6</f>
        <v>2030</v>
      </c>
      <c r="L6" s="56"/>
    </row>
    <row r="7" spans="1:12">
      <c r="A7" s="56"/>
      <c r="B7" s="56"/>
      <c r="C7" s="56"/>
      <c r="D7" s="56"/>
      <c r="E7" s="8"/>
      <c r="F7" s="8"/>
      <c r="G7" s="297"/>
      <c r="H7" s="297"/>
      <c r="I7" s="297"/>
      <c r="J7" s="297"/>
      <c r="K7" s="297"/>
      <c r="L7" s="56"/>
    </row>
    <row r="8" spans="1:12">
      <c r="A8" s="56"/>
      <c r="B8" s="125" t="s">
        <v>156</v>
      </c>
      <c r="C8" s="56"/>
      <c r="D8" s="56"/>
      <c r="E8" s="36">
        <v>533</v>
      </c>
      <c r="F8" s="125">
        <f t="shared" ref="F8:K8" si="0">E11</f>
        <v>326</v>
      </c>
      <c r="G8" s="125">
        <f t="shared" si="0"/>
        <v>208</v>
      </c>
      <c r="H8" s="125">
        <f t="shared" si="0"/>
        <v>110</v>
      </c>
      <c r="I8" s="125">
        <f t="shared" si="0"/>
        <v>48</v>
      </c>
      <c r="J8" s="125">
        <f t="shared" si="0"/>
        <v>0</v>
      </c>
      <c r="K8" s="125">
        <f t="shared" si="0"/>
        <v>0</v>
      </c>
      <c r="L8" s="56"/>
    </row>
    <row r="9" spans="1:12">
      <c r="A9" s="56"/>
      <c r="B9" s="56"/>
      <c r="C9" s="125" t="s">
        <v>162</v>
      </c>
      <c r="D9" s="56"/>
      <c r="E9" s="36">
        <v>-207</v>
      </c>
      <c r="F9" s="36">
        <v>-175</v>
      </c>
      <c r="G9" s="36">
        <v>-98</v>
      </c>
      <c r="H9" s="36">
        <v>-62</v>
      </c>
      <c r="I9" s="36">
        <v>-48</v>
      </c>
      <c r="J9" s="56"/>
      <c r="K9" s="56"/>
      <c r="L9" s="56"/>
    </row>
    <row r="10" spans="1:12">
      <c r="A10" s="56"/>
      <c r="B10" s="56"/>
      <c r="C10" s="125" t="s">
        <v>163</v>
      </c>
      <c r="D10" s="56"/>
      <c r="E10" s="163">
        <v>0</v>
      </c>
      <c r="F10" s="163">
        <v>57</v>
      </c>
      <c r="G10" s="163">
        <v>0</v>
      </c>
      <c r="H10" s="163">
        <v>0</v>
      </c>
      <c r="I10" s="163">
        <v>0</v>
      </c>
      <c r="J10" s="163">
        <v>0</v>
      </c>
      <c r="K10" s="163">
        <v>0</v>
      </c>
      <c r="L10" s="56"/>
    </row>
    <row r="11" spans="1:12">
      <c r="A11" s="56"/>
      <c r="B11" s="56"/>
      <c r="C11" s="125" t="s">
        <v>159</v>
      </c>
      <c r="D11" s="56"/>
      <c r="E11" s="298">
        <v>326</v>
      </c>
      <c r="F11" s="121">
        <f t="shared" ref="F11:K11" si="1">SUM(F8:F10)</f>
        <v>208</v>
      </c>
      <c r="G11" s="121">
        <f t="shared" si="1"/>
        <v>110</v>
      </c>
      <c r="H11" s="121">
        <f t="shared" si="1"/>
        <v>48</v>
      </c>
      <c r="I11" s="121">
        <f t="shared" si="1"/>
        <v>0</v>
      </c>
      <c r="J11" s="121">
        <f t="shared" si="1"/>
        <v>0</v>
      </c>
      <c r="K11" s="121">
        <f t="shared" si="1"/>
        <v>0</v>
      </c>
      <c r="L11" s="56"/>
    </row>
    <row r="12" spans="1:12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</row>
    <row r="13" spans="1:12">
      <c r="B13" s="63"/>
      <c r="C13" s="63"/>
      <c r="D13" s="63"/>
      <c r="E13" s="63"/>
      <c r="F13" s="63"/>
      <c r="G13" s="63"/>
      <c r="H13" s="63"/>
      <c r="I13" s="63"/>
      <c r="J13" s="63"/>
      <c r="K13" s="63"/>
    </row>
    <row r="15" spans="1:12" ht="22.8">
      <c r="B15" s="201" t="str">
        <f>Cover!$B$7</f>
        <v>PayPal</v>
      </c>
      <c r="C15" s="57"/>
      <c r="D15" s="58"/>
      <c r="E15" s="58"/>
      <c r="F15" s="58"/>
      <c r="G15" s="58"/>
      <c r="H15" s="58"/>
      <c r="I15" s="58"/>
      <c r="J15" s="58"/>
      <c r="K15" s="59"/>
    </row>
    <row r="16" spans="1:12" ht="17.399999999999999">
      <c r="B16" s="753" t="s">
        <v>155</v>
      </c>
      <c r="C16" s="81"/>
      <c r="D16" s="82"/>
      <c r="E16" s="82"/>
      <c r="F16" s="82"/>
      <c r="G16" s="82"/>
      <c r="H16" s="82"/>
      <c r="I16" s="82"/>
      <c r="J16" s="82"/>
      <c r="K16" s="82"/>
    </row>
    <row r="17" spans="2:12">
      <c r="B17" s="220" t="s">
        <v>93</v>
      </c>
      <c r="C17" s="56"/>
      <c r="D17" s="56"/>
      <c r="E17" s="56"/>
      <c r="F17" s="56"/>
      <c r="G17" s="56"/>
      <c r="H17" s="56"/>
      <c r="I17" s="56"/>
      <c r="J17" s="56"/>
      <c r="K17" s="56"/>
      <c r="L17" s="56"/>
    </row>
    <row r="18" spans="2:12">
      <c r="B18" s="56"/>
      <c r="C18" s="56"/>
      <c r="D18" s="56"/>
      <c r="E18" s="56"/>
      <c r="F18" s="56"/>
      <c r="G18" s="202" t="s">
        <v>94</v>
      </c>
      <c r="H18" s="75"/>
      <c r="I18" s="75"/>
      <c r="J18" s="75"/>
      <c r="K18" s="75"/>
      <c r="L18" s="56"/>
    </row>
    <row r="19" spans="2:12">
      <c r="B19" s="34"/>
      <c r="C19" s="56"/>
      <c r="D19" s="8"/>
      <c r="E19" s="221">
        <f>E6</f>
        <v>2024</v>
      </c>
      <c r="F19" s="221">
        <f>F6</f>
        <v>2025</v>
      </c>
      <c r="G19" s="256">
        <f>CFS!H6</f>
        <v>2026</v>
      </c>
      <c r="H19" s="256">
        <f>CFS!I6</f>
        <v>2027</v>
      </c>
      <c r="I19" s="256">
        <f>CFS!J6</f>
        <v>2028</v>
      </c>
      <c r="J19" s="256">
        <f>CFS!K6</f>
        <v>2029</v>
      </c>
      <c r="K19" s="256">
        <f>CFS!L6</f>
        <v>2030</v>
      </c>
      <c r="L19" s="56"/>
    </row>
    <row r="20" spans="2:12"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</row>
    <row r="21" spans="2:12">
      <c r="B21" s="125" t="s">
        <v>156</v>
      </c>
      <c r="C21" s="56"/>
      <c r="D21" s="56"/>
      <c r="E21" s="56"/>
      <c r="F21" s="127">
        <f t="shared" ref="F21:K21" si="2">E25</f>
        <v>1508</v>
      </c>
      <c r="G21" s="127">
        <f t="shared" si="2"/>
        <v>1700</v>
      </c>
      <c r="H21" s="127">
        <f t="shared" si="2"/>
        <v>1749.5112518596507</v>
      </c>
      <c r="I21" s="127">
        <f t="shared" si="2"/>
        <v>1788.1557836957818</v>
      </c>
      <c r="J21" s="127">
        <f t="shared" si="2"/>
        <v>1815.1302666785775</v>
      </c>
      <c r="K21" s="127">
        <f t="shared" si="2"/>
        <v>1829.3684287135097</v>
      </c>
      <c r="L21" s="56"/>
    </row>
    <row r="22" spans="2:12">
      <c r="B22" s="56"/>
      <c r="C22" s="125" t="s">
        <v>157</v>
      </c>
      <c r="D22" s="56"/>
      <c r="E22" s="36">
        <v>683</v>
      </c>
      <c r="F22" s="36">
        <v>852</v>
      </c>
      <c r="G22" s="167">
        <f>Assumptions!J59</f>
        <v>823.57646592000003</v>
      </c>
      <c r="H22" s="167">
        <f>Assumptions!K59</f>
        <v>856.53332789759986</v>
      </c>
      <c r="I22" s="167">
        <f>Assumptions!L59</f>
        <v>895.64534299852789</v>
      </c>
      <c r="J22" s="167">
        <f>Assumptions!M59</f>
        <v>941.84115324240395</v>
      </c>
      <c r="K22" s="167">
        <f>Assumptions!N59</f>
        <v>990.40814055982946</v>
      </c>
      <c r="L22" s="56"/>
    </row>
    <row r="23" spans="2:12">
      <c r="B23" s="56"/>
      <c r="C23" s="125" t="s">
        <v>158</v>
      </c>
      <c r="D23" s="56"/>
      <c r="E23" s="31">
        <v>-825</v>
      </c>
      <c r="F23" s="31">
        <v>-788</v>
      </c>
      <c r="G23" s="241">
        <f>-G22*G27</f>
        <v>-774.06521406034938</v>
      </c>
      <c r="H23" s="241">
        <f t="shared" ref="H23:K23" si="3">-H22*H27</f>
        <v>-817.88879606146872</v>
      </c>
      <c r="I23" s="241">
        <f t="shared" si="3"/>
        <v>-868.67086001573193</v>
      </c>
      <c r="J23" s="241">
        <f t="shared" si="3"/>
        <v>-927.60299120747186</v>
      </c>
      <c r="K23" s="241">
        <f t="shared" si="3"/>
        <v>-990.29189547290935</v>
      </c>
      <c r="L23" s="56"/>
    </row>
    <row r="24" spans="2:12">
      <c r="B24" s="56"/>
      <c r="C24" s="125" t="s">
        <v>160</v>
      </c>
      <c r="D24" s="56"/>
      <c r="E24" s="15"/>
      <c r="F24" s="163">
        <v>128</v>
      </c>
      <c r="G24" s="95"/>
      <c r="H24" s="95"/>
      <c r="I24" s="95"/>
      <c r="J24" s="95"/>
      <c r="K24" s="95"/>
      <c r="L24" s="56"/>
    </row>
    <row r="25" spans="2:12">
      <c r="B25" s="56"/>
      <c r="C25" s="125" t="s">
        <v>159</v>
      </c>
      <c r="D25" s="56"/>
      <c r="E25" s="148">
        <f>BS!F18</f>
        <v>1508</v>
      </c>
      <c r="F25" s="148">
        <f>BS!G18</f>
        <v>1700</v>
      </c>
      <c r="G25" s="135">
        <f>SUM(G21:G24)</f>
        <v>1749.5112518596507</v>
      </c>
      <c r="H25" s="135">
        <f>SUM(H21:H24)</f>
        <v>1788.1557836957818</v>
      </c>
      <c r="I25" s="135">
        <f>SUM(I21:I24)</f>
        <v>1815.1302666785775</v>
      </c>
      <c r="J25" s="135">
        <f>SUM(J21:J24)</f>
        <v>1829.3684287135097</v>
      </c>
      <c r="K25" s="135">
        <f>SUM(K21:K24)</f>
        <v>1829.4846738004298</v>
      </c>
      <c r="L25" s="56"/>
    </row>
    <row r="26" spans="2:12">
      <c r="B26" s="56"/>
      <c r="C26" s="56"/>
      <c r="D26" s="56"/>
      <c r="E26" s="56"/>
      <c r="F26" s="76"/>
      <c r="G26" s="56"/>
      <c r="H26" s="56"/>
      <c r="I26" s="56"/>
      <c r="J26" s="56"/>
      <c r="K26" s="56"/>
      <c r="L26" s="56"/>
    </row>
    <row r="27" spans="2:12">
      <c r="B27" s="56"/>
      <c r="C27" s="125" t="s">
        <v>582</v>
      </c>
      <c r="D27" s="635">
        <v>1.4999999999999999E-2</v>
      </c>
      <c r="E27" s="299">
        <f t="shared" ref="E27:F27" si="4">-(E23/E22)</f>
        <v>1.2079062957540263</v>
      </c>
      <c r="F27" s="299">
        <f t="shared" si="4"/>
        <v>0.92488262910798125</v>
      </c>
      <c r="G27" s="299">
        <f>F27+$D$27</f>
        <v>0.93988262910798126</v>
      </c>
      <c r="H27" s="299">
        <f t="shared" ref="H27:K27" si="5">G27+$D$27</f>
        <v>0.95488262910798127</v>
      </c>
      <c r="I27" s="299">
        <f t="shared" si="5"/>
        <v>0.96988262910798129</v>
      </c>
      <c r="J27" s="299">
        <f t="shared" si="5"/>
        <v>0.9848826291079813</v>
      </c>
      <c r="K27" s="299">
        <f t="shared" si="5"/>
        <v>0.99988262910798131</v>
      </c>
      <c r="L27" s="56"/>
    </row>
    <row r="28" spans="2:12"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</row>
    <row r="29" spans="2:12">
      <c r="B29" s="300" t="s">
        <v>164</v>
      </c>
      <c r="C29" s="301"/>
      <c r="D29" s="43"/>
      <c r="E29" s="249">
        <f t="shared" ref="E29:K29" si="6">E23+E9</f>
        <v>-1032</v>
      </c>
      <c r="F29" s="249">
        <f t="shared" si="6"/>
        <v>-963</v>
      </c>
      <c r="G29" s="249">
        <f t="shared" si="6"/>
        <v>-872.06521406034938</v>
      </c>
      <c r="H29" s="249">
        <f t="shared" si="6"/>
        <v>-879.88879606146872</v>
      </c>
      <c r="I29" s="249">
        <f t="shared" si="6"/>
        <v>-916.67086001573193</v>
      </c>
      <c r="J29" s="249">
        <f t="shared" si="6"/>
        <v>-927.60299120747186</v>
      </c>
      <c r="K29" s="250">
        <f t="shared" si="6"/>
        <v>-990.29189547290935</v>
      </c>
      <c r="L29" s="56"/>
    </row>
    <row r="30" spans="2:12"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56"/>
    </row>
  </sheetData>
  <printOptions horizontalCentered="1"/>
  <pageMargins left="0.7" right="0.7" top="0.75" bottom="0.75" header="0.3" footer="0.3"/>
  <pageSetup scale="90" fitToHeight="0" orientation="landscape" r:id="rId1"/>
  <headerFooter differentOddEven="1">
    <oddFooter>&amp;L&amp;"Arial"&amp;8Tyler Spencer&amp;C&amp;"Arial"&amp;8&amp;INot associated with PayPal. For educational purposes only.&amp;R&amp;"Arial"&amp;8Page &amp;P</oddFooter>
    <evenFooter>&amp;L&amp;"Arial"&amp;8Tyler Spencer&amp;C&amp;"Arial"&amp;8&amp;INot associated with PayPal. For educational purposes only.&amp;R&amp;"Arial"&amp;8Page &amp;P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9B249-FE61-47AD-A92B-66C6CA623BE3}">
  <sheetPr>
    <pageSetUpPr fitToPage="1"/>
  </sheetPr>
  <dimension ref="B1:L42"/>
  <sheetViews>
    <sheetView workbookViewId="0">
      <selection activeCell="I9" sqref="I9"/>
    </sheetView>
  </sheetViews>
  <sheetFormatPr defaultColWidth="9.109375" defaultRowHeight="13.8"/>
  <cols>
    <col min="1" max="1" width="2.6640625" style="55" customWidth="1"/>
    <col min="2" max="2" width="3.6640625" style="55" customWidth="1"/>
    <col min="3" max="3" width="29.88671875" style="55" customWidth="1"/>
    <col min="4" max="4" width="6.5546875" style="55" customWidth="1"/>
    <col min="5" max="12" width="12.33203125" style="55" customWidth="1"/>
    <col min="13" max="16384" width="9.109375" style="55"/>
  </cols>
  <sheetData>
    <row r="1" spans="2:12" s="56" customFormat="1" ht="13.2">
      <c r="C1" s="11"/>
      <c r="D1" s="11"/>
      <c r="E1" s="11"/>
      <c r="F1" s="8"/>
      <c r="G1" s="8"/>
      <c r="H1" s="314"/>
      <c r="I1" s="218"/>
      <c r="J1" s="314"/>
      <c r="K1" s="314"/>
      <c r="L1" s="728" t="str">
        <f>"CURRENTLY RUNNING: "&amp;UPPER(CHOOSE(Scenarios!$C$6,Scenarios!B10,Scenarios!B11,Scenarios!B12))&amp;" SCENARIO"</f>
        <v>CURRENTLY RUNNING: BASE CASE SCENARIO</v>
      </c>
    </row>
    <row r="2" spans="2:12" ht="22.8">
      <c r="B2" s="201" t="str">
        <f>Cover!$B$7</f>
        <v>PayPal</v>
      </c>
      <c r="C2" s="57"/>
      <c r="D2" s="58"/>
      <c r="E2" s="58"/>
      <c r="F2" s="58"/>
      <c r="G2" s="58"/>
      <c r="H2" s="58"/>
      <c r="I2" s="58"/>
      <c r="J2" s="58"/>
      <c r="K2" s="58"/>
      <c r="L2" s="59"/>
    </row>
    <row r="3" spans="2:12" ht="18" thickBot="1">
      <c r="B3" s="219" t="s">
        <v>174</v>
      </c>
      <c r="C3" s="3"/>
      <c r="D3" s="4"/>
      <c r="E3" s="4"/>
      <c r="F3" s="4"/>
      <c r="G3" s="4"/>
      <c r="H3" s="4"/>
      <c r="I3" s="4"/>
      <c r="J3" s="4"/>
      <c r="K3" s="4"/>
      <c r="L3" s="4"/>
    </row>
    <row r="4" spans="2:12">
      <c r="B4" s="220" t="s">
        <v>93</v>
      </c>
      <c r="C4" s="34"/>
      <c r="D4" s="56"/>
      <c r="E4" s="20"/>
      <c r="F4" s="56"/>
      <c r="G4" s="56"/>
      <c r="H4" s="56"/>
      <c r="I4" s="56"/>
      <c r="J4" s="56"/>
      <c r="K4" s="56"/>
      <c r="L4" s="56"/>
    </row>
    <row r="5" spans="2:12">
      <c r="B5" s="56"/>
      <c r="C5" s="11"/>
      <c r="D5" s="11"/>
      <c r="E5" s="11"/>
      <c r="F5" s="56"/>
      <c r="G5" s="56"/>
      <c r="H5" s="202" t="s">
        <v>94</v>
      </c>
      <c r="I5" s="75"/>
      <c r="J5" s="75"/>
      <c r="K5" s="75"/>
      <c r="L5" s="75"/>
    </row>
    <row r="6" spans="2:12">
      <c r="B6" s="56"/>
      <c r="C6" s="11"/>
      <c r="D6" s="11"/>
      <c r="E6" s="11"/>
      <c r="F6" s="221"/>
      <c r="G6" s="221">
        <f>'D&amp;A Schedule'!F19</f>
        <v>2025</v>
      </c>
      <c r="H6" s="256">
        <f>'Income Tax Schedule'!H6</f>
        <v>2026</v>
      </c>
      <c r="I6" s="256">
        <f>'Income Tax Schedule'!I6</f>
        <v>2027</v>
      </c>
      <c r="J6" s="256">
        <f>'Income Tax Schedule'!J6</f>
        <v>2028</v>
      </c>
      <c r="K6" s="256">
        <f>'Income Tax Schedule'!K6</f>
        <v>2029</v>
      </c>
      <c r="L6" s="256">
        <f>'Income Tax Schedule'!L6</f>
        <v>2030</v>
      </c>
    </row>
    <row r="7" spans="2:12">
      <c r="B7" s="315" t="s">
        <v>624</v>
      </c>
      <c r="C7" s="11"/>
      <c r="D7" s="11"/>
      <c r="E7" s="11"/>
      <c r="F7" s="56"/>
      <c r="G7" s="180"/>
      <c r="H7" s="180"/>
      <c r="I7" s="180"/>
      <c r="J7" s="180"/>
      <c r="K7" s="180"/>
      <c r="L7" s="314"/>
    </row>
    <row r="8" spans="2:12">
      <c r="B8" s="56"/>
      <c r="C8" s="121" t="s">
        <v>18</v>
      </c>
      <c r="D8" s="56"/>
      <c r="E8" s="56"/>
      <c r="F8" s="56"/>
      <c r="G8" s="56"/>
      <c r="H8" s="56"/>
      <c r="I8" s="56"/>
      <c r="J8" s="56"/>
      <c r="K8" s="56"/>
      <c r="L8" s="56"/>
    </row>
    <row r="9" spans="2:12">
      <c r="B9" s="56"/>
      <c r="C9" s="125" t="s">
        <v>175</v>
      </c>
      <c r="D9" s="56"/>
      <c r="E9" s="56"/>
      <c r="F9" s="56"/>
      <c r="G9" s="56"/>
      <c r="H9" s="127">
        <f>G11</f>
        <v>10422</v>
      </c>
      <c r="I9" s="127">
        <f>H11</f>
        <v>10036.886999314429</v>
      </c>
      <c r="J9" s="127">
        <f>I11</f>
        <v>9915.6644969170011</v>
      </c>
      <c r="K9" s="127">
        <f>J11</f>
        <v>9828.9614112045074</v>
      </c>
      <c r="L9" s="127">
        <f>K11</f>
        <v>9630.3133805237485</v>
      </c>
    </row>
    <row r="10" spans="2:12">
      <c r="B10" s="56"/>
      <c r="C10" s="125" t="s">
        <v>176</v>
      </c>
      <c r="D10" s="56"/>
      <c r="E10" s="56"/>
      <c r="F10" s="56"/>
      <c r="G10" s="95"/>
      <c r="H10" s="46">
        <f>CFS!H31</f>
        <v>-385.11300068557102</v>
      </c>
      <c r="I10" s="46">
        <f>CFS!I31</f>
        <v>-121.22250239742789</v>
      </c>
      <c r="J10" s="46">
        <f>CFS!J31</f>
        <v>-86.703085712493703</v>
      </c>
      <c r="K10" s="46">
        <f>CFS!K31</f>
        <v>-198.6480306807598</v>
      </c>
      <c r="L10" s="46">
        <f>CFS!L31</f>
        <v>672.76588444030676</v>
      </c>
    </row>
    <row r="11" spans="2:12">
      <c r="B11" s="56"/>
      <c r="C11" s="125" t="s">
        <v>177</v>
      </c>
      <c r="D11" s="56"/>
      <c r="E11" s="56"/>
      <c r="F11" s="56"/>
      <c r="G11" s="149">
        <f>BS!G9</f>
        <v>10422</v>
      </c>
      <c r="H11" s="127">
        <f>SUM(H9:H10)</f>
        <v>10036.886999314429</v>
      </c>
      <c r="I11" s="127">
        <f>SUM(I9:I10)</f>
        <v>9915.6644969170011</v>
      </c>
      <c r="J11" s="127">
        <f>SUM(J9:J10)</f>
        <v>9828.9614112045074</v>
      </c>
      <c r="K11" s="127">
        <f>SUM(K9:K10)</f>
        <v>9630.3133805237485</v>
      </c>
      <c r="L11" s="127">
        <f>SUM(L9:L10)</f>
        <v>10303.079264964055</v>
      </c>
    </row>
    <row r="12" spans="2:12"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</row>
    <row r="13" spans="2:12">
      <c r="B13" s="56"/>
      <c r="C13" s="125" t="s">
        <v>178</v>
      </c>
      <c r="D13" s="56"/>
      <c r="E13" s="56"/>
      <c r="F13" s="56"/>
      <c r="G13" s="56"/>
      <c r="H13" s="317">
        <f>Assumptions!N28</f>
        <v>0.03</v>
      </c>
      <c r="I13" s="318">
        <f>H13</f>
        <v>0.03</v>
      </c>
      <c r="J13" s="318">
        <f>I13</f>
        <v>0.03</v>
      </c>
      <c r="K13" s="318">
        <f>J13</f>
        <v>0.03</v>
      </c>
      <c r="L13" s="318">
        <f>K13</f>
        <v>0.03</v>
      </c>
    </row>
    <row r="14" spans="2:12">
      <c r="B14" s="56"/>
      <c r="C14" s="121" t="s">
        <v>179</v>
      </c>
      <c r="D14" s="56"/>
      <c r="E14" s="56"/>
      <c r="F14" s="56"/>
      <c r="G14" s="56"/>
      <c r="H14" s="319">
        <f>H13*H9</f>
        <v>312.65999999999997</v>
      </c>
      <c r="I14" s="319">
        <f>I13*I9</f>
        <v>301.10660997943285</v>
      </c>
      <c r="J14" s="319">
        <f>J13*J9</f>
        <v>297.46993490751004</v>
      </c>
      <c r="K14" s="319">
        <f>K13*K9</f>
        <v>294.86884233613523</v>
      </c>
      <c r="L14" s="319">
        <f>L13*L9</f>
        <v>288.90940141571247</v>
      </c>
    </row>
    <row r="15" spans="2:12"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</row>
    <row r="16" spans="2:12">
      <c r="B16" s="56"/>
      <c r="C16" s="121" t="s">
        <v>9</v>
      </c>
      <c r="D16" s="56"/>
      <c r="E16" s="56"/>
      <c r="F16" s="56"/>
      <c r="G16" s="56"/>
      <c r="H16" s="56"/>
      <c r="I16" s="56"/>
      <c r="J16" s="56"/>
      <c r="K16" s="56"/>
      <c r="L16" s="56"/>
    </row>
    <row r="17" spans="2:12">
      <c r="B17" s="56"/>
      <c r="C17" s="125" t="s">
        <v>139</v>
      </c>
      <c r="D17" s="56"/>
      <c r="E17" s="56"/>
      <c r="F17" s="56"/>
      <c r="G17" s="320"/>
      <c r="H17" s="54">
        <f>CFS!H16</f>
        <v>7466.422027458244</v>
      </c>
      <c r="I17" s="54">
        <f>CFS!I16</f>
        <v>7426.235449788348</v>
      </c>
      <c r="J17" s="54">
        <f>CFS!J16</f>
        <v>7550.6884907791646</v>
      </c>
      <c r="K17" s="54">
        <f>CFS!K16</f>
        <v>7842.2969281012838</v>
      </c>
      <c r="L17" s="54">
        <f>CFS!L16</f>
        <v>8228.5418229642019</v>
      </c>
    </row>
    <row r="18" spans="2:12">
      <c r="B18" s="56"/>
      <c r="C18" s="125" t="s">
        <v>141</v>
      </c>
      <c r="D18" s="56"/>
      <c r="E18" s="56"/>
      <c r="F18" s="56"/>
      <c r="G18" s="320"/>
      <c r="H18" s="99">
        <f>CFS!H21</f>
        <v>-2373.1311258597057</v>
      </c>
      <c r="I18" s="99">
        <f>CFS!I21</f>
        <v>-2717.0547575185169</v>
      </c>
      <c r="J18" s="99">
        <f>CFS!J21</f>
        <v>-3103.6450700475734</v>
      </c>
      <c r="K18" s="99">
        <f>CFS!K21</f>
        <v>-3549.7440226311987</v>
      </c>
      <c r="L18" s="99">
        <f>CFS!L21</f>
        <v>-3732.1716233093134</v>
      </c>
    </row>
    <row r="19" spans="2:12">
      <c r="B19" s="56"/>
      <c r="C19" s="125" t="s">
        <v>180</v>
      </c>
      <c r="D19" s="56"/>
      <c r="E19" s="56"/>
      <c r="F19" s="56"/>
      <c r="G19" s="320"/>
      <c r="H19" s="242">
        <f>H33</f>
        <v>-1397</v>
      </c>
      <c r="I19" s="242">
        <f>I33</f>
        <v>-1075</v>
      </c>
      <c r="J19" s="242">
        <f>J33</f>
        <v>-1137</v>
      </c>
      <c r="K19" s="242">
        <f>K33</f>
        <v>-1500</v>
      </c>
      <c r="L19" s="242">
        <f>L33</f>
        <v>-1000</v>
      </c>
    </row>
    <row r="20" spans="2:12">
      <c r="B20" s="56"/>
      <c r="C20" s="125" t="s">
        <v>181</v>
      </c>
      <c r="D20" s="56"/>
      <c r="E20" s="56"/>
      <c r="F20" s="56"/>
      <c r="G20" s="320"/>
      <c r="H20" s="99">
        <f>IS!G269</f>
        <v>0</v>
      </c>
      <c r="I20" s="99">
        <f>IS!H269</f>
        <v>0</v>
      </c>
      <c r="J20" s="99">
        <f>IS!I269</f>
        <v>0</v>
      </c>
      <c r="K20" s="99">
        <f>IS!J269</f>
        <v>0</v>
      </c>
      <c r="L20" s="99">
        <f>IS!K269</f>
        <v>0</v>
      </c>
    </row>
    <row r="21" spans="2:12">
      <c r="B21" s="56"/>
      <c r="C21" s="125" t="s">
        <v>182</v>
      </c>
      <c r="D21" s="56"/>
      <c r="E21" s="56"/>
      <c r="F21" s="56"/>
      <c r="G21" s="320"/>
      <c r="H21" s="84"/>
      <c r="I21" s="86">
        <f>BS!H31</f>
        <v>0</v>
      </c>
      <c r="J21" s="86">
        <f>BS!I31</f>
        <v>0</v>
      </c>
      <c r="K21" s="86">
        <f>BS!J31</f>
        <v>0</v>
      </c>
      <c r="L21" s="86">
        <f>BS!K31</f>
        <v>0</v>
      </c>
    </row>
    <row r="22" spans="2:12">
      <c r="B22" s="56"/>
      <c r="C22" s="121" t="s">
        <v>183</v>
      </c>
      <c r="D22" s="56"/>
      <c r="E22" s="56"/>
      <c r="F22" s="56"/>
      <c r="G22" s="56"/>
      <c r="H22" s="135">
        <f>SUM(H17:H21)</f>
        <v>3696.2909015985388</v>
      </c>
      <c r="I22" s="135">
        <f>SUM(I17:I21)</f>
        <v>3634.1806922698306</v>
      </c>
      <c r="J22" s="135">
        <f>SUM(J17:J21)</f>
        <v>3310.0434207315911</v>
      </c>
      <c r="K22" s="135">
        <f>SUM(K17:K21)</f>
        <v>2792.5529054700855</v>
      </c>
      <c r="L22" s="135">
        <f>SUM(L17:L21)</f>
        <v>3496.370199654888</v>
      </c>
    </row>
    <row r="23" spans="2:12"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</row>
    <row r="24" spans="2:12">
      <c r="B24" s="56"/>
      <c r="C24" s="125" t="s">
        <v>184</v>
      </c>
      <c r="D24" s="56"/>
      <c r="E24" s="56"/>
      <c r="F24" s="56"/>
      <c r="G24" s="56"/>
      <c r="H24" s="127">
        <f>G26</f>
        <v>0</v>
      </c>
      <c r="I24" s="127">
        <f>H26</f>
        <v>0</v>
      </c>
      <c r="J24" s="127">
        <f>I26</f>
        <v>0</v>
      </c>
      <c r="K24" s="127">
        <f>J26</f>
        <v>0</v>
      </c>
      <c r="L24" s="127">
        <f>K26</f>
        <v>0</v>
      </c>
    </row>
    <row r="25" spans="2:12">
      <c r="B25" s="56"/>
      <c r="C25" s="125" t="s">
        <v>185</v>
      </c>
      <c r="D25" s="56"/>
      <c r="E25" s="56"/>
      <c r="F25" s="56"/>
      <c r="G25" s="95"/>
      <c r="H25" s="251">
        <f>-MIN((H22+H9),H24)</f>
        <v>0</v>
      </c>
      <c r="I25" s="251">
        <f>-MIN((I22+I9),I24)</f>
        <v>0</v>
      </c>
      <c r="J25" s="251">
        <f>-MIN((J22+J9),J24)</f>
        <v>0</v>
      </c>
      <c r="K25" s="251">
        <f>-MIN((K22+K9),K24)</f>
        <v>0</v>
      </c>
      <c r="L25" s="251">
        <f>-MIN((L22+L9),L24)</f>
        <v>0</v>
      </c>
    </row>
    <row r="26" spans="2:12">
      <c r="B26" s="56"/>
      <c r="C26" s="125" t="s">
        <v>186</v>
      </c>
      <c r="D26" s="56"/>
      <c r="E26" s="56"/>
      <c r="F26" s="56"/>
      <c r="G26" s="143">
        <v>0</v>
      </c>
      <c r="H26" s="127">
        <f>SUM(H24:H25)</f>
        <v>0</v>
      </c>
      <c r="I26" s="127">
        <f>SUM(I24:I25)</f>
        <v>0</v>
      </c>
      <c r="J26" s="127">
        <f>SUM(J24:J25)</f>
        <v>0</v>
      </c>
      <c r="K26" s="127">
        <f>SUM(K24:K25)</f>
        <v>0</v>
      </c>
      <c r="L26" s="127">
        <f>SUM(L24:L25)</f>
        <v>0</v>
      </c>
    </row>
    <row r="27" spans="2:12"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</row>
    <row r="28" spans="2:12">
      <c r="B28" s="56"/>
      <c r="C28" s="125" t="s">
        <v>178</v>
      </c>
      <c r="D28" s="56"/>
      <c r="E28" s="56"/>
      <c r="F28" s="56"/>
      <c r="G28" s="56"/>
      <c r="H28" s="321">
        <v>4.4999999999999998E-2</v>
      </c>
      <c r="I28" s="137">
        <f>H28</f>
        <v>4.4999999999999998E-2</v>
      </c>
      <c r="J28" s="137">
        <f>I28</f>
        <v>4.4999999999999998E-2</v>
      </c>
      <c r="K28" s="137">
        <f>J28</f>
        <v>4.4999999999999998E-2</v>
      </c>
      <c r="L28" s="137">
        <f>K28</f>
        <v>4.4999999999999998E-2</v>
      </c>
    </row>
    <row r="29" spans="2:12">
      <c r="B29" s="56"/>
      <c r="C29" s="121" t="s">
        <v>187</v>
      </c>
      <c r="D29" s="56"/>
      <c r="E29" s="56"/>
      <c r="F29" s="56"/>
      <c r="G29" s="56"/>
      <c r="H29" s="319">
        <f>H28*H24</f>
        <v>0</v>
      </c>
      <c r="I29" s="319">
        <f>I28*I24</f>
        <v>0</v>
      </c>
      <c r="J29" s="319">
        <f>J28*J24</f>
        <v>0</v>
      </c>
      <c r="K29" s="319">
        <f>K28*K24</f>
        <v>0</v>
      </c>
      <c r="L29" s="319">
        <f>L28*L24</f>
        <v>0</v>
      </c>
    </row>
    <row r="30" spans="2:12"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</row>
    <row r="31" spans="2:12">
      <c r="B31" s="56"/>
      <c r="C31" s="121" t="s">
        <v>226</v>
      </c>
      <c r="D31" s="56"/>
      <c r="E31" s="56"/>
      <c r="F31" s="56"/>
      <c r="G31" s="56"/>
      <c r="H31" s="56"/>
      <c r="I31" s="56"/>
      <c r="J31" s="56"/>
      <c r="K31" s="56"/>
      <c r="L31" s="56"/>
    </row>
    <row r="32" spans="2:12">
      <c r="B32" s="56"/>
      <c r="C32" s="125" t="s">
        <v>175</v>
      </c>
      <c r="D32" s="56"/>
      <c r="E32" s="56"/>
      <c r="F32" s="56"/>
      <c r="G32" s="56"/>
      <c r="H32" s="127">
        <f>G34</f>
        <v>11383</v>
      </c>
      <c r="I32" s="127">
        <f>H34</f>
        <v>9986</v>
      </c>
      <c r="J32" s="127">
        <f>I34</f>
        <v>8911</v>
      </c>
      <c r="K32" s="127">
        <f>J34</f>
        <v>7774</v>
      </c>
      <c r="L32" s="127">
        <f>K34</f>
        <v>6274</v>
      </c>
    </row>
    <row r="33" spans="2:12">
      <c r="B33" s="56"/>
      <c r="C33" s="125" t="s">
        <v>185</v>
      </c>
      <c r="D33" s="56"/>
      <c r="E33" s="56"/>
      <c r="F33" s="56"/>
      <c r="G33" s="95"/>
      <c r="H33" s="251">
        <f>-Assumptions!H45</f>
        <v>-1397</v>
      </c>
      <c r="I33" s="251">
        <f>-Assumptions!H46</f>
        <v>-1075</v>
      </c>
      <c r="J33" s="251">
        <f>-Assumptions!H47</f>
        <v>-1137</v>
      </c>
      <c r="K33" s="251">
        <f>-Assumptions!H48</f>
        <v>-1500</v>
      </c>
      <c r="L33" s="251">
        <f>-Assumptions!H49</f>
        <v>-1000</v>
      </c>
    </row>
    <row r="34" spans="2:12">
      <c r="B34" s="56"/>
      <c r="C34" s="125" t="s">
        <v>177</v>
      </c>
      <c r="D34" s="56"/>
      <c r="E34" s="56"/>
      <c r="F34" s="56"/>
      <c r="G34" s="127">
        <f>BS!G35+BS!G31</f>
        <v>11383</v>
      </c>
      <c r="H34" s="127">
        <f>SUM(H32:H33)</f>
        <v>9986</v>
      </c>
      <c r="I34" s="127">
        <f>SUM(I32:I33)</f>
        <v>8911</v>
      </c>
      <c r="J34" s="127">
        <f>SUM(J32:J33)</f>
        <v>7774</v>
      </c>
      <c r="K34" s="127">
        <f>SUM(K32:K33)</f>
        <v>6274</v>
      </c>
      <c r="L34" s="127">
        <f>SUM(L32:L33)</f>
        <v>5274</v>
      </c>
    </row>
    <row r="35" spans="2:12"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</row>
    <row r="36" spans="2:12">
      <c r="B36" s="56"/>
      <c r="C36" s="125" t="s">
        <v>178</v>
      </c>
      <c r="D36" s="56"/>
      <c r="E36" s="56"/>
      <c r="F36" s="56"/>
      <c r="G36" s="56"/>
      <c r="H36" s="322">
        <f>Assumptions!N30</f>
        <v>3.9E-2</v>
      </c>
      <c r="I36" s="137">
        <f>H36</f>
        <v>3.9E-2</v>
      </c>
      <c r="J36" s="137">
        <f>I36</f>
        <v>3.9E-2</v>
      </c>
      <c r="K36" s="137">
        <f>J36</f>
        <v>3.9E-2</v>
      </c>
      <c r="L36" s="137">
        <f>K36</f>
        <v>3.9E-2</v>
      </c>
    </row>
    <row r="37" spans="2:12">
      <c r="B37" s="56"/>
      <c r="C37" s="121" t="s">
        <v>187</v>
      </c>
      <c r="D37" s="56"/>
      <c r="E37" s="56"/>
      <c r="F37" s="56"/>
      <c r="G37" s="56"/>
      <c r="H37" s="319">
        <f>H36*H32</f>
        <v>443.93700000000001</v>
      </c>
      <c r="I37" s="319">
        <f>I36*I32</f>
        <v>389.45400000000001</v>
      </c>
      <c r="J37" s="319">
        <f>J36*J32</f>
        <v>347.529</v>
      </c>
      <c r="K37" s="319">
        <f>K36*K32</f>
        <v>303.18599999999998</v>
      </c>
      <c r="L37" s="319">
        <f>L36*L32</f>
        <v>244.68600000000001</v>
      </c>
    </row>
    <row r="38" spans="2:12"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</row>
    <row r="39" spans="2:12" ht="14.4" thickBot="1">
      <c r="B39" s="56"/>
      <c r="C39" s="315" t="s">
        <v>225</v>
      </c>
      <c r="D39" s="56"/>
      <c r="E39" s="56"/>
      <c r="F39" s="56"/>
      <c r="G39" s="56"/>
      <c r="H39" s="279">
        <f>H14-H37</f>
        <v>-131.27700000000004</v>
      </c>
      <c r="I39" s="279">
        <f>I14-I37</f>
        <v>-88.347390020567161</v>
      </c>
      <c r="J39" s="279">
        <f>J14-J37</f>
        <v>-50.059065092489959</v>
      </c>
      <c r="K39" s="279">
        <f>K14-K37</f>
        <v>-8.317157663864748</v>
      </c>
      <c r="L39" s="279">
        <f>L14-L37</f>
        <v>44.223401415712459</v>
      </c>
    </row>
    <row r="40" spans="2:12" ht="14.4" thickTop="1"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</row>
    <row r="41" spans="2:12"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</row>
    <row r="42" spans="2:12"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</row>
  </sheetData>
  <printOptions horizontalCentered="1"/>
  <pageMargins left="0.7" right="0.7" top="0.75" bottom="0.75" header="0.3" footer="0.3"/>
  <pageSetup scale="86" fitToHeight="0" orientation="landscape" r:id="rId1"/>
  <headerFooter differentOddEven="1">
    <oddFooter>&amp;L&amp;"Arial"&amp;8Tyler Spencer&amp;C&amp;"Arial"&amp;8&amp;INot associated with PayPal. For educational purposes only.&amp;R&amp;"Arial"&amp;8Page &amp;P</oddFooter>
    <evenFooter>&amp;L&amp;"Arial"&amp;8Tyler Spencer&amp;C&amp;"Arial"&amp;8&amp;INot associated with PayPal. For educational purposes only.&amp;R&amp;"Arial"&amp;8Page &amp;P</even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B2A0F-B7DB-4793-8215-E2FA595AA66C}">
  <sheetPr>
    <pageSetUpPr fitToPage="1"/>
  </sheetPr>
  <dimension ref="B1:L20"/>
  <sheetViews>
    <sheetView workbookViewId="0">
      <selection activeCell="I9" sqref="I9"/>
    </sheetView>
  </sheetViews>
  <sheetFormatPr defaultColWidth="9.109375" defaultRowHeight="13.8"/>
  <cols>
    <col min="1" max="1" width="2.6640625" style="55" customWidth="1"/>
    <col min="2" max="2" width="3.6640625" style="55" customWidth="1"/>
    <col min="3" max="3" width="29.88671875" style="55" customWidth="1"/>
    <col min="4" max="4" width="6.5546875" style="55" customWidth="1"/>
    <col min="5" max="12" width="12.33203125" style="55" customWidth="1"/>
    <col min="13" max="16384" width="9.109375" style="55"/>
  </cols>
  <sheetData>
    <row r="1" spans="2:12" s="56" customFormat="1" ht="13.2">
      <c r="I1" s="218"/>
      <c r="L1" s="725" t="str">
        <f>"CURRENTLY RUNNING: "&amp;UPPER(CHOOSE(Scenarios!$C$6,Scenarios!B10,Scenarios!B11,Scenarios!B12))&amp;" SCENARIO"</f>
        <v>CURRENTLY RUNNING: BASE CASE SCENARIO</v>
      </c>
    </row>
    <row r="2" spans="2:12" ht="22.8">
      <c r="B2" s="201" t="str">
        <f>Cover!$B$7</f>
        <v>PayPal</v>
      </c>
      <c r="C2" s="57"/>
      <c r="D2" s="58"/>
      <c r="E2" s="58"/>
      <c r="F2" s="58"/>
      <c r="G2" s="58"/>
      <c r="H2" s="58"/>
      <c r="I2" s="58"/>
      <c r="J2" s="58"/>
      <c r="K2" s="58"/>
      <c r="L2" s="59"/>
    </row>
    <row r="3" spans="2:12" ht="18" thickBot="1">
      <c r="B3" s="219" t="s">
        <v>165</v>
      </c>
      <c r="C3" s="3"/>
      <c r="D3" s="4"/>
      <c r="E3" s="4"/>
      <c r="F3" s="5"/>
      <c r="G3" s="4"/>
      <c r="H3" s="4"/>
      <c r="I3" s="4"/>
      <c r="J3" s="4"/>
      <c r="K3" s="4"/>
      <c r="L3" s="4"/>
    </row>
    <row r="4" spans="2:12">
      <c r="B4" s="220" t="s">
        <v>93</v>
      </c>
      <c r="C4" s="34"/>
      <c r="D4" s="56"/>
      <c r="E4" s="20"/>
      <c r="F4" s="20"/>
      <c r="G4" s="34"/>
      <c r="H4" s="56"/>
      <c r="I4" s="56"/>
      <c r="J4" s="56"/>
      <c r="K4" s="56"/>
      <c r="L4" s="56"/>
    </row>
    <row r="5" spans="2:12">
      <c r="B5" s="56"/>
      <c r="C5" s="56"/>
      <c r="D5" s="56"/>
      <c r="E5" s="20"/>
      <c r="F5" s="20"/>
      <c r="G5" s="56"/>
      <c r="H5" s="202" t="s">
        <v>94</v>
      </c>
      <c r="I5" s="302"/>
      <c r="J5" s="302"/>
      <c r="K5" s="302"/>
      <c r="L5" s="302"/>
    </row>
    <row r="6" spans="2:12">
      <c r="B6" s="56"/>
      <c r="C6" s="300" t="s">
        <v>166</v>
      </c>
      <c r="D6" s="106"/>
      <c r="E6" s="146">
        <v>0.21</v>
      </c>
      <c r="F6" s="28"/>
      <c r="G6" s="303"/>
      <c r="H6" s="625">
        <f>'D&amp;A Schedule'!G19</f>
        <v>2026</v>
      </c>
      <c r="I6" s="625">
        <f>'D&amp;A Schedule'!H19</f>
        <v>2027</v>
      </c>
      <c r="J6" s="625">
        <f>'D&amp;A Schedule'!I19</f>
        <v>2028</v>
      </c>
      <c r="K6" s="625">
        <f>'D&amp;A Schedule'!J19</f>
        <v>2029</v>
      </c>
      <c r="L6" s="625">
        <f>'D&amp;A Schedule'!K19</f>
        <v>2030</v>
      </c>
    </row>
    <row r="7" spans="2:12">
      <c r="B7" s="56"/>
      <c r="C7" s="56"/>
      <c r="D7" s="56"/>
      <c r="E7" s="56"/>
      <c r="F7" s="56"/>
      <c r="G7" s="56"/>
      <c r="H7" s="297"/>
      <c r="I7" s="297"/>
      <c r="J7" s="297"/>
      <c r="K7" s="297"/>
      <c r="L7" s="297"/>
    </row>
    <row r="8" spans="2:12"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</row>
    <row r="9" spans="2:12">
      <c r="B9" s="56"/>
      <c r="C9" s="227" t="s">
        <v>167</v>
      </c>
      <c r="D9" s="56"/>
      <c r="E9" s="56"/>
      <c r="F9" s="56"/>
      <c r="G9" s="135" t="s">
        <v>168</v>
      </c>
      <c r="H9" s="148">
        <f>IS!H22</f>
        <v>6348.159417066664</v>
      </c>
      <c r="I9" s="148">
        <f>IS!I22</f>
        <v>6340.7511595580945</v>
      </c>
      <c r="J9" s="148">
        <f>IS!J22</f>
        <v>6483.3565414535306</v>
      </c>
      <c r="K9" s="148">
        <f>IS!K22</f>
        <v>6813.9771879969403</v>
      </c>
      <c r="L9" s="148">
        <f>IS!L22</f>
        <v>7162.7733505636506</v>
      </c>
    </row>
    <row r="10" spans="2:12">
      <c r="B10" s="56"/>
      <c r="C10" s="56"/>
      <c r="D10" s="190"/>
      <c r="E10" s="190"/>
      <c r="F10" s="56"/>
      <c r="G10" s="190"/>
      <c r="H10" s="190"/>
      <c r="I10" s="190"/>
      <c r="J10" s="190"/>
      <c r="K10" s="190"/>
      <c r="L10" s="190"/>
    </row>
    <row r="11" spans="2:12">
      <c r="B11" s="56"/>
      <c r="C11" s="125" t="s">
        <v>328</v>
      </c>
      <c r="D11" s="56"/>
      <c r="E11" s="56"/>
      <c r="F11" s="56"/>
      <c r="G11" s="56"/>
      <c r="H11" s="86">
        <f>Assumptions!J62</f>
        <v>1144.4046513684398</v>
      </c>
      <c r="I11" s="86">
        <f>Assumptions!K62</f>
        <v>759.74867755657772</v>
      </c>
      <c r="J11" s="86">
        <f>Assumptions!L62</f>
        <v>504.38282679011439</v>
      </c>
      <c r="K11" s="86">
        <f>Assumptions!M62</f>
        <v>334.85025176873893</v>
      </c>
      <c r="L11" s="86">
        <f>Assumptions!N62</f>
        <v>222.30077067283966</v>
      </c>
    </row>
    <row r="12" spans="2:12">
      <c r="B12" s="56"/>
      <c r="C12" s="227" t="s">
        <v>169</v>
      </c>
      <c r="D12" s="56"/>
      <c r="E12" s="190"/>
      <c r="F12" s="56"/>
      <c r="G12" s="135" t="s">
        <v>170</v>
      </c>
      <c r="H12" s="135">
        <f>H9-H11</f>
        <v>5203.7547656982242</v>
      </c>
      <c r="I12" s="135">
        <f>I9-I11</f>
        <v>5581.0024820015169</v>
      </c>
      <c r="J12" s="135">
        <f>J9-J11</f>
        <v>5978.9737146634161</v>
      </c>
      <c r="K12" s="135">
        <f>K9-K11</f>
        <v>6479.126936228201</v>
      </c>
      <c r="L12" s="135">
        <f>L9-L11</f>
        <v>6940.4725798908112</v>
      </c>
    </row>
    <row r="13" spans="2:12">
      <c r="B13" s="56"/>
      <c r="C13" s="56"/>
      <c r="D13" s="11"/>
      <c r="E13" s="56"/>
      <c r="F13" s="56"/>
      <c r="G13" s="42"/>
      <c r="H13" s="42"/>
      <c r="I13" s="42"/>
      <c r="J13" s="42"/>
      <c r="K13" s="42"/>
      <c r="L13" s="42"/>
    </row>
    <row r="14" spans="2:12">
      <c r="B14" s="56"/>
      <c r="C14" s="176" t="str">
        <f>CONCATENATE("Accounting Taxes (",$E$6*100,"% of A)")</f>
        <v>Accounting Taxes (21% of A)</v>
      </c>
      <c r="D14" s="190"/>
      <c r="E14" s="190"/>
      <c r="F14" s="190"/>
      <c r="G14" s="42"/>
      <c r="H14" s="127">
        <f>$E$6*H9</f>
        <v>1333.1134775839994</v>
      </c>
      <c r="I14" s="127">
        <f>$E$6*I9</f>
        <v>1331.5577435071998</v>
      </c>
      <c r="J14" s="127">
        <f>$E$6*J9</f>
        <v>1361.5048737052414</v>
      </c>
      <c r="K14" s="127">
        <f>$E$6*K9</f>
        <v>1430.9352094793574</v>
      </c>
      <c r="L14" s="127">
        <f>$E$6*L9</f>
        <v>1504.1824036183666</v>
      </c>
    </row>
    <row r="15" spans="2:12">
      <c r="B15" s="56"/>
      <c r="C15" s="56"/>
      <c r="D15" s="56"/>
      <c r="E15" s="44"/>
      <c r="F15" s="56"/>
      <c r="G15" s="42"/>
      <c r="H15" s="42"/>
      <c r="I15" s="42"/>
      <c r="J15" s="42"/>
      <c r="K15" s="42"/>
      <c r="L15" s="42"/>
    </row>
    <row r="16" spans="2:12">
      <c r="B16" s="56"/>
      <c r="C16" s="233" t="s">
        <v>171</v>
      </c>
      <c r="D16" s="304"/>
      <c r="E16" s="304"/>
      <c r="F16" s="304"/>
      <c r="G16" s="304"/>
      <c r="H16" s="304"/>
      <c r="I16" s="304"/>
      <c r="J16" s="304"/>
      <c r="K16" s="304"/>
      <c r="L16" s="305"/>
    </row>
    <row r="17" spans="2:12">
      <c r="B17" s="56"/>
      <c r="C17" s="306" t="str">
        <f>CONCATENATE("Current Tax (",$E$6*100,"% of B)")</f>
        <v>Current Tax (21% of B)</v>
      </c>
      <c r="D17" s="190"/>
      <c r="E17" s="190"/>
      <c r="F17" s="771"/>
      <c r="G17" s="42"/>
      <c r="H17" s="127">
        <f>$E$6*H12</f>
        <v>1092.788500796627</v>
      </c>
      <c r="I17" s="127">
        <f>$E$6*I12</f>
        <v>1172.0105212203184</v>
      </c>
      <c r="J17" s="127">
        <f>$E$6*J12</f>
        <v>1255.5844800793172</v>
      </c>
      <c r="K17" s="127">
        <f>$E$6*K12</f>
        <v>1360.6166566079221</v>
      </c>
      <c r="L17" s="252">
        <f>$E$6*L12</f>
        <v>1457.4992417770702</v>
      </c>
    </row>
    <row r="18" spans="2:12">
      <c r="B18" s="56"/>
      <c r="C18" s="198" t="s">
        <v>172</v>
      </c>
      <c r="D18" s="190"/>
      <c r="E18" s="190"/>
      <c r="F18" s="190"/>
      <c r="G18" s="42"/>
      <c r="H18" s="251">
        <f>H14-H17</f>
        <v>240.32497678737241</v>
      </c>
      <c r="I18" s="251">
        <f>I14-I17</f>
        <v>159.54722228688138</v>
      </c>
      <c r="J18" s="251">
        <f>J14-J17</f>
        <v>105.92039362592413</v>
      </c>
      <c r="K18" s="251">
        <f>K14-K17</f>
        <v>70.318552871435259</v>
      </c>
      <c r="L18" s="253">
        <f>L14-L17</f>
        <v>46.683161841296396</v>
      </c>
    </row>
    <row r="19" spans="2:12">
      <c r="B19" s="56"/>
      <c r="C19" s="307" t="s">
        <v>173</v>
      </c>
      <c r="D19" s="308"/>
      <c r="E19" s="308"/>
      <c r="F19" s="308"/>
      <c r="G19" s="45"/>
      <c r="H19" s="254">
        <f>SUM(H17:H18)</f>
        <v>1333.1134775839994</v>
      </c>
      <c r="I19" s="254">
        <f>SUM(I17:I18)</f>
        <v>1331.5577435071998</v>
      </c>
      <c r="J19" s="254">
        <f>SUM(J17:J18)</f>
        <v>1361.5048737052414</v>
      </c>
      <c r="K19" s="254">
        <f>SUM(K17:K18)</f>
        <v>1430.9352094793574</v>
      </c>
      <c r="L19" s="255">
        <f>SUM(L17:L18)</f>
        <v>1504.1824036183666</v>
      </c>
    </row>
    <row r="20" spans="2:12">
      <c r="B20" s="63"/>
      <c r="C20" s="309"/>
      <c r="D20" s="309"/>
      <c r="E20" s="310"/>
      <c r="F20" s="311"/>
      <c r="G20" s="312"/>
      <c r="H20" s="313"/>
      <c r="I20" s="313"/>
      <c r="J20" s="313"/>
      <c r="K20" s="313"/>
      <c r="L20" s="313"/>
    </row>
  </sheetData>
  <printOptions horizontalCentered="1"/>
  <pageMargins left="0.7" right="0.7" top="0.75" bottom="0.75" header="0.3" footer="0.3"/>
  <pageSetup scale="86" fitToHeight="0" orientation="landscape" r:id="rId1"/>
  <headerFooter differentOddEven="1">
    <oddFooter>&amp;L&amp;"Arial"&amp;8Tyler Spencer&amp;C&amp;"Arial"&amp;8&amp;INot associated with PayPal. For educational purposes only.&amp;R&amp;"Arial"&amp;8Page &amp;P</oddFooter>
    <evenFooter>&amp;L&amp;"Arial"&amp;8Tyler Spencer&amp;C&amp;"Arial"&amp;8&amp;INot associated with PayPal. For educational purposes only.&amp;R&amp;"Arial"&amp;8Page &amp;P</even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8EB9F-9DA8-4F3C-8D78-3B82C275D95F}">
  <sheetPr>
    <pageSetUpPr fitToPage="1"/>
  </sheetPr>
  <dimension ref="B1:L40"/>
  <sheetViews>
    <sheetView workbookViewId="0">
      <selection activeCell="I9" sqref="I9"/>
    </sheetView>
  </sheetViews>
  <sheetFormatPr defaultColWidth="9.109375" defaultRowHeight="13.8"/>
  <cols>
    <col min="1" max="1" width="2.6640625" style="55" customWidth="1"/>
    <col min="2" max="2" width="3.6640625" style="55" customWidth="1"/>
    <col min="3" max="3" width="29.88671875" style="55" customWidth="1"/>
    <col min="4" max="4" width="6.5546875" style="55" customWidth="1"/>
    <col min="5" max="12" width="12.33203125" style="55" customWidth="1"/>
    <col min="13" max="16384" width="9.109375" style="55"/>
  </cols>
  <sheetData>
    <row r="1" spans="2:12" s="56" customFormat="1" ht="13.2">
      <c r="C1" s="11"/>
      <c r="D1" s="11"/>
      <c r="E1" s="11"/>
      <c r="F1" s="28"/>
      <c r="G1" s="8"/>
      <c r="H1" s="314"/>
      <c r="I1" s="218"/>
      <c r="J1" s="314"/>
      <c r="K1" s="314"/>
      <c r="L1" s="728" t="str">
        <f>"CURRENTLY RUNNING: "&amp;UPPER(CHOOSE(Scenarios!$C$6,Scenarios!B10,Scenarios!B11,Scenarios!B12))&amp;" SCENARIO"</f>
        <v>CURRENTLY RUNNING: BASE CASE SCENARIO</v>
      </c>
    </row>
    <row r="2" spans="2:12" ht="22.8">
      <c r="B2" s="201" t="str">
        <f>Cover!$B$7</f>
        <v>PayPal</v>
      </c>
      <c r="C2" s="57"/>
      <c r="D2" s="58"/>
      <c r="E2" s="58"/>
      <c r="F2" s="58"/>
      <c r="G2" s="58"/>
      <c r="H2" s="58"/>
      <c r="I2" s="58"/>
      <c r="J2" s="58"/>
      <c r="K2" s="58"/>
      <c r="L2" s="59"/>
    </row>
    <row r="3" spans="2:12" ht="18" thickBot="1">
      <c r="B3" s="219" t="s">
        <v>230</v>
      </c>
      <c r="C3" s="3"/>
      <c r="D3" s="4"/>
      <c r="E3" s="4"/>
      <c r="F3" s="5"/>
      <c r="G3" s="4"/>
      <c r="H3" s="4"/>
      <c r="I3" s="4"/>
      <c r="J3" s="4"/>
      <c r="K3" s="4"/>
      <c r="L3" s="4"/>
    </row>
    <row r="4" spans="2:12" s="56" customFormat="1" ht="13.2">
      <c r="B4" s="220" t="s">
        <v>93</v>
      </c>
      <c r="C4" s="34"/>
      <c r="E4" s="20"/>
      <c r="F4" s="20"/>
    </row>
    <row r="5" spans="2:12" s="56" customFormat="1" ht="13.2">
      <c r="C5" s="11"/>
      <c r="D5" s="11"/>
      <c r="E5" s="11"/>
      <c r="F5" s="28"/>
      <c r="H5" s="202" t="s">
        <v>94</v>
      </c>
      <c r="I5" s="75"/>
      <c r="J5" s="75"/>
      <c r="K5" s="75"/>
      <c r="L5" s="75"/>
    </row>
    <row r="6" spans="2:12" s="56" customFormat="1" ht="13.2">
      <c r="C6" s="11"/>
      <c r="D6" s="11"/>
      <c r="E6" s="11"/>
      <c r="F6" s="28"/>
      <c r="G6" s="221">
        <f>'D&amp;A Schedule'!F19</f>
        <v>2025</v>
      </c>
      <c r="H6" s="256">
        <f>'Income Tax Schedule'!H6</f>
        <v>2026</v>
      </c>
      <c r="I6" s="256">
        <f>'Income Tax Schedule'!I6</f>
        <v>2027</v>
      </c>
      <c r="J6" s="256">
        <f>'Income Tax Schedule'!J6</f>
        <v>2028</v>
      </c>
      <c r="K6" s="256">
        <f>'Income Tax Schedule'!K6</f>
        <v>2029</v>
      </c>
      <c r="L6" s="256">
        <f>'Income Tax Schedule'!L6</f>
        <v>2030</v>
      </c>
    </row>
    <row r="7" spans="2:12" s="56" customFormat="1" ht="13.2">
      <c r="B7" s="315" t="s">
        <v>231</v>
      </c>
      <c r="C7" s="11"/>
      <c r="D7" s="11"/>
      <c r="E7" s="11"/>
      <c r="F7" s="28"/>
      <c r="G7" s="180"/>
      <c r="H7" s="180"/>
      <c r="I7" s="180"/>
      <c r="J7" s="180"/>
      <c r="K7" s="180"/>
      <c r="L7" s="314"/>
    </row>
    <row r="8" spans="2:12" s="56" customFormat="1" ht="13.2">
      <c r="C8" s="125" t="s">
        <v>175</v>
      </c>
      <c r="G8" s="76"/>
      <c r="H8" s="127">
        <f>G10</f>
        <v>920</v>
      </c>
      <c r="I8" s="127">
        <f t="shared" ref="I8:L8" si="0">H10</f>
        <v>834.51530176098481</v>
      </c>
      <c r="J8" s="127">
        <f t="shared" si="0"/>
        <v>749.03060352196962</v>
      </c>
      <c r="K8" s="127">
        <f t="shared" si="0"/>
        <v>663.54590528295444</v>
      </c>
      <c r="L8" s="127">
        <f t="shared" si="0"/>
        <v>578.06120704393925</v>
      </c>
    </row>
    <row r="9" spans="2:12" s="56" customFormat="1" ht="13.2">
      <c r="C9" s="125" t="s">
        <v>232</v>
      </c>
      <c r="G9" s="76"/>
      <c r="H9" s="127">
        <f>5000000000/Assumptions!$N$10/1000000</f>
        <v>85.484698239015202</v>
      </c>
      <c r="I9" s="127">
        <f>5000000000/Assumptions!$N$10/1000000</f>
        <v>85.484698239015202</v>
      </c>
      <c r="J9" s="127">
        <f>5000000000/Assumptions!$N$10/1000000</f>
        <v>85.484698239015202</v>
      </c>
      <c r="K9" s="127">
        <f>5000000000/Assumptions!$N$10/1000000</f>
        <v>85.484698239015202</v>
      </c>
      <c r="L9" s="127">
        <f>5000000000/Assumptions!$N$10/1000000</f>
        <v>85.484698239015202</v>
      </c>
    </row>
    <row r="10" spans="2:12" s="56" customFormat="1" ht="13.2">
      <c r="C10" s="125" t="s">
        <v>177</v>
      </c>
      <c r="G10" s="143">
        <v>920</v>
      </c>
      <c r="H10" s="127">
        <f>H8-H9</f>
        <v>834.51530176098481</v>
      </c>
      <c r="I10" s="127">
        <f t="shared" ref="I10:L10" si="1">I8-I9</f>
        <v>749.03060352196962</v>
      </c>
      <c r="J10" s="127">
        <f t="shared" si="1"/>
        <v>663.54590528295444</v>
      </c>
      <c r="K10" s="127">
        <f t="shared" si="1"/>
        <v>578.06120704393925</v>
      </c>
      <c r="L10" s="127">
        <f t="shared" si="1"/>
        <v>492.57650880492406</v>
      </c>
    </row>
    <row r="11" spans="2:12" s="56" customFormat="1" ht="13.2"/>
    <row r="12" spans="2:12" s="56" customFormat="1" ht="13.2">
      <c r="C12" s="125" t="s">
        <v>241</v>
      </c>
      <c r="H12" s="143">
        <v>0.56000000000000005</v>
      </c>
      <c r="I12" s="189">
        <f>H12</f>
        <v>0.56000000000000005</v>
      </c>
      <c r="J12" s="189">
        <f t="shared" ref="J12:L12" si="2">I12</f>
        <v>0.56000000000000005</v>
      </c>
      <c r="K12" s="189">
        <f t="shared" si="2"/>
        <v>0.56000000000000005</v>
      </c>
      <c r="L12" s="189">
        <f t="shared" si="2"/>
        <v>0.56000000000000005</v>
      </c>
    </row>
    <row r="13" spans="2:12" s="56" customFormat="1" ht="13.2">
      <c r="B13" s="11"/>
      <c r="C13" s="121" t="s">
        <v>233</v>
      </c>
      <c r="H13" s="127">
        <f>H12*H10</f>
        <v>467.32856898615154</v>
      </c>
      <c r="I13" s="127">
        <f t="shared" ref="I13:L13" si="3">I12*I10</f>
        <v>419.45713797230303</v>
      </c>
      <c r="J13" s="127">
        <f t="shared" si="3"/>
        <v>371.58570695845452</v>
      </c>
      <c r="K13" s="127">
        <f t="shared" si="3"/>
        <v>323.71427594460602</v>
      </c>
      <c r="L13" s="127">
        <f t="shared" si="3"/>
        <v>275.84284493075751</v>
      </c>
    </row>
    <row r="14" spans="2:12" s="56" customFormat="1" ht="13.2"/>
    <row r="15" spans="2:12" s="56" customFormat="1" ht="13.2">
      <c r="B15" s="121" t="s">
        <v>117</v>
      </c>
    </row>
    <row r="16" spans="2:12" s="56" customFormat="1" ht="13.2">
      <c r="C16" s="125" t="s">
        <v>175</v>
      </c>
      <c r="H16" s="127">
        <f>G19</f>
        <v>32470</v>
      </c>
      <c r="I16" s="127">
        <f t="shared" ref="I16:L16" si="4">H19</f>
        <v>37258.042347283888</v>
      </c>
      <c r="J16" s="127">
        <f t="shared" si="4"/>
        <v>42007.325847649357</v>
      </c>
      <c r="K16" s="127">
        <f t="shared" si="4"/>
        <v>46863.512202065118</v>
      </c>
      <c r="L16" s="127">
        <f t="shared" si="4"/>
        <v>51993.158457509526</v>
      </c>
    </row>
    <row r="17" spans="2:12" s="56" customFormat="1" ht="13.2">
      <c r="C17" s="125" t="s">
        <v>97</v>
      </c>
      <c r="H17" s="149">
        <f>IS!H25</f>
        <v>5255.370916270037</v>
      </c>
      <c r="I17" s="149">
        <f>IS!I25</f>
        <v>5168.7406383377765</v>
      </c>
      <c r="J17" s="149">
        <f>IS!J25</f>
        <v>5227.7720613742131</v>
      </c>
      <c r="K17" s="149">
        <f>IS!K25</f>
        <v>5453.3605313890184</v>
      </c>
      <c r="L17" s="149">
        <f>IS!L25</f>
        <v>5705.2741087865807</v>
      </c>
    </row>
    <row r="18" spans="2:12" s="56" customFormat="1" ht="13.2">
      <c r="C18" s="125" t="s">
        <v>233</v>
      </c>
      <c r="G18" s="95"/>
      <c r="H18" s="251">
        <f>-H13</f>
        <v>-467.32856898615154</v>
      </c>
      <c r="I18" s="251">
        <f>-I13</f>
        <v>-419.45713797230303</v>
      </c>
      <c r="J18" s="251">
        <f>-J13</f>
        <v>-371.58570695845452</v>
      </c>
      <c r="K18" s="251">
        <f>-K13</f>
        <v>-323.71427594460602</v>
      </c>
      <c r="L18" s="251">
        <f>-L13</f>
        <v>-275.84284493075751</v>
      </c>
    </row>
    <row r="19" spans="2:12" s="56" customFormat="1" ht="13.2">
      <c r="C19" s="121" t="s">
        <v>177</v>
      </c>
      <c r="D19" s="11"/>
      <c r="G19" s="148">
        <f>BS!G42</f>
        <v>32470</v>
      </c>
      <c r="H19" s="135">
        <f>SUM(H16:H18)</f>
        <v>37258.042347283888</v>
      </c>
      <c r="I19" s="135">
        <f>SUM(I16:I18)</f>
        <v>42007.325847649357</v>
      </c>
      <c r="J19" s="135">
        <f>SUM(J16:J18)</f>
        <v>46863.512202065118</v>
      </c>
      <c r="K19" s="135">
        <f>SUM(K16:K18)</f>
        <v>51993.158457509526</v>
      </c>
      <c r="L19" s="135">
        <f>SUM(L16:L18)</f>
        <v>57422.589721365352</v>
      </c>
    </row>
    <row r="20" spans="2:12" s="56" customFormat="1" ht="13.2"/>
    <row r="21" spans="2:12" s="56" customFormat="1" ht="13.2">
      <c r="H21" s="202" t="s">
        <v>94</v>
      </c>
      <c r="I21" s="75"/>
      <c r="J21" s="75"/>
      <c r="K21" s="75"/>
      <c r="L21" s="75"/>
    </row>
    <row r="22" spans="2:12" s="56" customFormat="1" ht="13.2">
      <c r="G22" s="221">
        <f t="shared" ref="G22:L22" si="5">G6</f>
        <v>2025</v>
      </c>
      <c r="H22" s="256">
        <f t="shared" si="5"/>
        <v>2026</v>
      </c>
      <c r="I22" s="256">
        <f t="shared" si="5"/>
        <v>2027</v>
      </c>
      <c r="J22" s="256">
        <f t="shared" si="5"/>
        <v>2028</v>
      </c>
      <c r="K22" s="256">
        <f t="shared" si="5"/>
        <v>2029</v>
      </c>
      <c r="L22" s="256">
        <f t="shared" si="5"/>
        <v>2030</v>
      </c>
    </row>
    <row r="23" spans="2:12" s="56" customFormat="1" ht="13.2"/>
    <row r="24" spans="2:12" s="56" customFormat="1" ht="13.2">
      <c r="B24" s="121" t="s">
        <v>243</v>
      </c>
    </row>
    <row r="25" spans="2:12" s="56" customFormat="1" ht="13.2">
      <c r="C25" s="125" t="s">
        <v>97</v>
      </c>
      <c r="G25" s="149">
        <f>IS!G25</f>
        <v>5233</v>
      </c>
      <c r="H25" s="149">
        <f>IS!H25</f>
        <v>5255.370916270037</v>
      </c>
      <c r="I25" s="149">
        <f>IS!I25</f>
        <v>5168.7406383377765</v>
      </c>
      <c r="J25" s="149">
        <f>IS!J25</f>
        <v>5227.7720613742131</v>
      </c>
      <c r="K25" s="149">
        <f>IS!K25</f>
        <v>5453.3605313890184</v>
      </c>
      <c r="L25" s="149">
        <f>IS!L25</f>
        <v>5705.2741087865807</v>
      </c>
    </row>
    <row r="26" spans="2:12" s="56" customFormat="1" ht="13.2">
      <c r="C26" s="125" t="s">
        <v>244</v>
      </c>
      <c r="G26" s="179">
        <f>Assumptions!N9</f>
        <v>920.66399999999999</v>
      </c>
      <c r="H26" s="269">
        <f>(H10+H8)/2</f>
        <v>877.25765088049241</v>
      </c>
      <c r="I26" s="269">
        <f>(I10+I8)/2</f>
        <v>791.77295264147722</v>
      </c>
      <c r="J26" s="269">
        <f>(J10+J8)/2</f>
        <v>706.28825440246203</v>
      </c>
      <c r="K26" s="269">
        <f>(K10+K8)/2</f>
        <v>620.80355616344684</v>
      </c>
      <c r="L26" s="269">
        <f>(L10+L8)/2</f>
        <v>535.31885792443165</v>
      </c>
    </row>
    <row r="27" spans="2:12" s="56" customFormat="1" ht="13.2">
      <c r="C27" s="125" t="s">
        <v>245</v>
      </c>
      <c r="G27" s="127">
        <f>G25/G26</f>
        <v>5.683941155513847</v>
      </c>
      <c r="H27" s="127">
        <f t="shared" ref="H27:L27" si="6">H25/H26</f>
        <v>5.9906811995259179</v>
      </c>
      <c r="I27" s="127">
        <f t="shared" si="6"/>
        <v>6.5280591122670417</v>
      </c>
      <c r="J27" s="127">
        <f t="shared" si="6"/>
        <v>7.4017542112420402</v>
      </c>
      <c r="K27" s="127">
        <f t="shared" si="6"/>
        <v>8.7843577525403909</v>
      </c>
      <c r="L27" s="127">
        <f t="shared" si="6"/>
        <v>10.657711799855866</v>
      </c>
    </row>
    <row r="28" spans="2:12" s="56" customFormat="1" ht="13.2"/>
    <row r="29" spans="2:12" s="56" customFormat="1" ht="13.2">
      <c r="C29" s="125" t="s">
        <v>246</v>
      </c>
      <c r="G29" s="269">
        <f>G26+Assumptions!N11</f>
        <v>952.42099999999994</v>
      </c>
      <c r="H29" s="269">
        <f>(G29-G26)+H26</f>
        <v>909.01465088049235</v>
      </c>
      <c r="I29" s="269">
        <f t="shared" ref="I29:L29" si="7">(H29-H26)+I26</f>
        <v>823.52995264147717</v>
      </c>
      <c r="J29" s="269">
        <f t="shared" si="7"/>
        <v>738.04525440246198</v>
      </c>
      <c r="K29" s="269">
        <f t="shared" si="7"/>
        <v>652.56055616344679</v>
      </c>
      <c r="L29" s="269">
        <f t="shared" si="7"/>
        <v>567.0758579244316</v>
      </c>
    </row>
    <row r="30" spans="2:12" s="56" customFormat="1" ht="13.2">
      <c r="C30" s="125" t="s">
        <v>247</v>
      </c>
      <c r="G30" s="127">
        <f>G25/G29</f>
        <v>5.4944189596827453</v>
      </c>
      <c r="H30" s="127">
        <f t="shared" ref="H30:L30" si="8">H25/H29</f>
        <v>5.7813929744471828</v>
      </c>
      <c r="I30" s="127">
        <f t="shared" si="8"/>
        <v>6.2763237958243181</v>
      </c>
      <c r="J30" s="127">
        <f t="shared" si="8"/>
        <v>7.0832676318835421</v>
      </c>
      <c r="K30" s="127">
        <f t="shared" si="8"/>
        <v>8.3568650907290145</v>
      </c>
      <c r="L30" s="127">
        <f t="shared" si="8"/>
        <v>10.06086580668166</v>
      </c>
    </row>
    <row r="31" spans="2:12" s="56" customFormat="1" ht="13.2"/>
    <row r="32" spans="2:12" s="56" customFormat="1" ht="13.2">
      <c r="C32" s="125" t="s">
        <v>248</v>
      </c>
      <c r="H32" s="127">
        <f>H9*Assumptions!$N$10</f>
        <v>4999.9999999999991</v>
      </c>
      <c r="I32" s="127">
        <f>I9*Assumptions!$N$10</f>
        <v>4999.9999999999991</v>
      </c>
      <c r="J32" s="127">
        <f>J9*Assumptions!$N$10</f>
        <v>4999.9999999999991</v>
      </c>
      <c r="K32" s="127">
        <f>K9*Assumptions!$N$10</f>
        <v>4999.9999999999991</v>
      </c>
      <c r="L32" s="127">
        <f>L9*Assumptions!$N$10</f>
        <v>4999.9999999999991</v>
      </c>
    </row>
    <row r="33" spans="2:12" s="56" customFormat="1" ht="13.2">
      <c r="C33" s="125" t="s">
        <v>249</v>
      </c>
      <c r="H33" s="149">
        <f>IS!H30</f>
        <v>1166.7333267200002</v>
      </c>
      <c r="I33" s="149">
        <f>IS!I30</f>
        <v>1213.4222145215999</v>
      </c>
      <c r="J33" s="149">
        <f>IS!J30</f>
        <v>1268.830902581248</v>
      </c>
      <c r="K33" s="149">
        <f>IS!K30</f>
        <v>1334.2749670934056</v>
      </c>
      <c r="L33" s="149">
        <f>IS!L30</f>
        <v>1403.0781991264253</v>
      </c>
    </row>
    <row r="34" spans="2:12" s="56" customFormat="1" ht="13.2">
      <c r="C34" s="125" t="s">
        <v>250</v>
      </c>
      <c r="H34" s="345">
        <v>8</v>
      </c>
      <c r="I34" s="345">
        <v>8</v>
      </c>
      <c r="J34" s="345">
        <v>8</v>
      </c>
      <c r="K34" s="345">
        <v>8</v>
      </c>
      <c r="L34" s="345">
        <v>8</v>
      </c>
    </row>
    <row r="35" spans="2:12" s="56" customFormat="1" ht="13.2">
      <c r="C35" s="125" t="s">
        <v>251</v>
      </c>
      <c r="H35" s="906">
        <f>(H25/G26)*H34</f>
        <v>45.665918652364269</v>
      </c>
      <c r="I35" s="906">
        <f t="shared" ref="I35:L35" si="9">(I25/H26)*I34</f>
        <v>47.135439702577479</v>
      </c>
      <c r="J35" s="906">
        <f t="shared" si="9"/>
        <v>52.820920885802487</v>
      </c>
      <c r="K35" s="906">
        <f t="shared" si="9"/>
        <v>61.769233707590978</v>
      </c>
      <c r="L35" s="906">
        <f t="shared" si="9"/>
        <v>73.521152411497852</v>
      </c>
    </row>
    <row r="36" spans="2:12" s="56" customFormat="1" ht="13.2"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</row>
    <row r="37" spans="2:12" s="56" customFormat="1" ht="13.2"/>
    <row r="38" spans="2:12" s="56" customFormat="1" ht="13.2"/>
    <row r="39" spans="2:12" s="56" customFormat="1" ht="13.2"/>
    <row r="40" spans="2:12" s="56" customFormat="1" ht="13.2"/>
  </sheetData>
  <printOptions horizontalCentered="1"/>
  <pageMargins left="0.7" right="0.7" top="0.75" bottom="0.75" header="0.3" footer="0.3"/>
  <pageSetup scale="86" fitToHeight="0" orientation="landscape" r:id="rId1"/>
  <headerFooter differentOddEven="1">
    <oddFooter>&amp;L&amp;"Arial"&amp;8Tyler Spencer&amp;C&amp;"Arial"&amp;8&amp;INot associated with PayPal. For educational purposes only.&amp;R&amp;"Arial"&amp;8Page &amp;P</oddFooter>
    <evenFooter>&amp;L&amp;"Arial"&amp;8Tyler Spencer&amp;C&amp;"Arial"&amp;8&amp;INot associated with PayPal. For educational purposes only.&amp;R&amp;"Arial"&amp;8Page &amp;P</even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50618-7F49-4ACC-97C2-2B4167EDD36E}">
  <sheetPr>
    <pageSetUpPr fitToPage="1"/>
  </sheetPr>
  <dimension ref="A1:J178"/>
  <sheetViews>
    <sheetView zoomScaleNormal="100" workbookViewId="0">
      <selection activeCell="E79" sqref="E79"/>
    </sheetView>
  </sheetViews>
  <sheetFormatPr defaultColWidth="8.88671875" defaultRowHeight="13.8"/>
  <cols>
    <col min="1" max="1" width="2" style="55" customWidth="1"/>
    <col min="2" max="2" width="40" style="55" customWidth="1"/>
    <col min="3" max="3" width="16.44140625" style="55" bestFit="1" customWidth="1"/>
    <col min="4" max="4" width="10.6640625" style="55" bestFit="1" customWidth="1"/>
    <col min="5" max="5" width="11.33203125" style="55" bestFit="1" customWidth="1"/>
    <col min="6" max="9" width="12" style="55" bestFit="1" customWidth="1"/>
    <col min="10" max="16384" width="8.88671875" style="55"/>
  </cols>
  <sheetData>
    <row r="1" spans="1:10" s="56" customFormat="1" ht="14.4">
      <c r="H1"/>
      <c r="I1" s="726" t="str">
        <f>"CURRENTLY RUNNING: "&amp;UPPER(CHOOSE(Scenarios!$C$6,Scenarios!B10,Scenarios!B11,Scenarios!B12))&amp;" SCENARIO"</f>
        <v>CURRENTLY RUNNING: BASE CASE SCENARIO</v>
      </c>
    </row>
    <row r="2" spans="1:10" ht="22.8">
      <c r="B2" s="201" t="str">
        <f>Cover!B7</f>
        <v>PayPal</v>
      </c>
      <c r="C2" s="58"/>
      <c r="D2" s="58"/>
      <c r="E2" s="58"/>
      <c r="F2" s="58"/>
      <c r="G2" s="58"/>
      <c r="H2" s="58"/>
      <c r="I2" s="58"/>
    </row>
    <row r="3" spans="1:10" ht="18" thickBot="1">
      <c r="B3" s="219" t="s">
        <v>252</v>
      </c>
      <c r="C3" s="68"/>
      <c r="D3" s="68"/>
      <c r="E3" s="68"/>
      <c r="F3" s="68"/>
      <c r="G3" s="68"/>
      <c r="H3" s="68"/>
      <c r="I3" s="68"/>
    </row>
    <row r="4" spans="1:10">
      <c r="A4" s="56"/>
      <c r="B4" s="220" t="s">
        <v>93</v>
      </c>
      <c r="C4" s="79"/>
      <c r="D4" s="79"/>
      <c r="E4" s="79"/>
      <c r="F4" s="79"/>
      <c r="G4" s="79"/>
      <c r="H4" s="79"/>
      <c r="I4" s="79"/>
      <c r="J4" s="56"/>
    </row>
    <row r="5" spans="1:10">
      <c r="A5" s="56"/>
      <c r="B5" s="116"/>
      <c r="C5" s="56"/>
      <c r="D5" s="56"/>
      <c r="E5" s="56"/>
      <c r="F5" s="56"/>
      <c r="G5" s="56"/>
      <c r="H5" s="56"/>
      <c r="I5" s="56"/>
      <c r="J5" s="56"/>
    </row>
    <row r="6" spans="1:10">
      <c r="A6" s="56"/>
      <c r="B6" s="125" t="s">
        <v>259</v>
      </c>
      <c r="C6" s="117">
        <v>46022</v>
      </c>
      <c r="D6" s="117"/>
      <c r="E6" s="56"/>
      <c r="F6" s="56"/>
      <c r="G6" s="176" t="s">
        <v>260</v>
      </c>
      <c r="H6" s="56"/>
      <c r="I6" s="513">
        <f>E53</f>
        <v>9.5880548882105621E-2</v>
      </c>
      <c r="J6" s="56"/>
    </row>
    <row r="7" spans="1:10">
      <c r="A7" s="56"/>
      <c r="B7" s="125" t="s">
        <v>261</v>
      </c>
      <c r="C7" s="117">
        <v>46387</v>
      </c>
      <c r="D7" s="56"/>
      <c r="E7" s="56"/>
      <c r="F7" s="56"/>
      <c r="G7" s="176" t="s">
        <v>262</v>
      </c>
      <c r="H7" s="56"/>
      <c r="I7" s="258">
        <f>Assumptions!N7</f>
        <v>45.47</v>
      </c>
      <c r="J7" s="56"/>
    </row>
    <row r="8" spans="1:10">
      <c r="A8" s="56"/>
      <c r="B8" s="125" t="s">
        <v>263</v>
      </c>
      <c r="C8" s="117"/>
      <c r="D8" s="56"/>
      <c r="E8" s="56"/>
      <c r="F8" s="56"/>
      <c r="G8" s="176" t="s">
        <v>264</v>
      </c>
      <c r="H8" s="56"/>
      <c r="I8" s="259">
        <f>Assumptions!N8</f>
        <v>46208</v>
      </c>
      <c r="J8" s="56"/>
    </row>
    <row r="9" spans="1:10">
      <c r="A9" s="56"/>
      <c r="B9" s="125" t="s">
        <v>265</v>
      </c>
      <c r="C9" s="117">
        <v>46204</v>
      </c>
      <c r="D9" s="56"/>
      <c r="E9" s="56"/>
      <c r="F9" s="56"/>
      <c r="G9" s="176" t="s">
        <v>266</v>
      </c>
      <c r="H9" s="56"/>
      <c r="I9" s="514">
        <v>0</v>
      </c>
      <c r="J9" s="56"/>
    </row>
    <row r="10" spans="1:10">
      <c r="A10" s="56"/>
      <c r="B10" s="125" t="s">
        <v>267</v>
      </c>
      <c r="C10" s="513">
        <f>1-YEARFRAC(C9,C7)</f>
        <v>0.5</v>
      </c>
      <c r="D10" s="56"/>
      <c r="E10" s="56"/>
      <c r="F10" s="77"/>
      <c r="G10" s="56"/>
      <c r="H10" s="56"/>
      <c r="I10" s="56"/>
      <c r="J10" s="56"/>
    </row>
    <row r="11" spans="1:10">
      <c r="A11" s="56"/>
      <c r="B11" s="56"/>
      <c r="C11" s="56"/>
      <c r="D11" s="118"/>
      <c r="E11" s="56"/>
      <c r="F11" s="77"/>
      <c r="G11" s="56"/>
      <c r="H11" s="118"/>
      <c r="I11" s="56"/>
      <c r="J11" s="56"/>
    </row>
    <row r="12" spans="1:10">
      <c r="A12" s="56"/>
      <c r="B12" s="121" t="s">
        <v>268</v>
      </c>
      <c r="C12" s="56"/>
      <c r="D12" s="56"/>
      <c r="E12" s="202" t="s">
        <v>94</v>
      </c>
      <c r="F12" s="75"/>
      <c r="G12" s="75"/>
      <c r="H12" s="75"/>
      <c r="I12" s="75"/>
      <c r="J12" s="56"/>
    </row>
    <row r="13" spans="1:10">
      <c r="A13" s="56"/>
      <c r="B13" s="125" t="s">
        <v>1</v>
      </c>
      <c r="C13" s="56"/>
      <c r="D13" s="221">
        <f>'Equity Schedule'!G6</f>
        <v>2025</v>
      </c>
      <c r="E13" s="256">
        <f>'Equity Schedule'!H6</f>
        <v>2026</v>
      </c>
      <c r="F13" s="256">
        <f>'Equity Schedule'!I6</f>
        <v>2027</v>
      </c>
      <c r="G13" s="256">
        <f>'Equity Schedule'!J6</f>
        <v>2028</v>
      </c>
      <c r="H13" s="256">
        <f>'Equity Schedule'!K6</f>
        <v>2029</v>
      </c>
      <c r="I13" s="256">
        <f>'Equity Schedule'!L6</f>
        <v>2030</v>
      </c>
      <c r="J13" s="56"/>
    </row>
    <row r="14" spans="1:10">
      <c r="A14" s="56"/>
      <c r="B14" s="125" t="s">
        <v>314</v>
      </c>
      <c r="C14" s="56"/>
      <c r="D14" s="260">
        <f>C6</f>
        <v>46022</v>
      </c>
      <c r="E14" s="260">
        <f>EOMONTH(D14,12)</f>
        <v>46387</v>
      </c>
      <c r="F14" s="260">
        <f t="shared" ref="F14:I14" si="0">EOMONTH(E14,12)</f>
        <v>46752</v>
      </c>
      <c r="G14" s="260">
        <f t="shared" si="0"/>
        <v>47118</v>
      </c>
      <c r="H14" s="260">
        <f t="shared" si="0"/>
        <v>47483</v>
      </c>
      <c r="I14" s="260">
        <f t="shared" si="0"/>
        <v>47848</v>
      </c>
      <c r="J14" s="56"/>
    </row>
    <row r="15" spans="1:10">
      <c r="A15" s="56"/>
      <c r="B15" s="80"/>
      <c r="C15" s="56"/>
      <c r="D15" s="354"/>
      <c r="E15" s="119"/>
      <c r="F15" s="120"/>
      <c r="G15" s="120"/>
      <c r="H15" s="120"/>
      <c r="I15" s="120"/>
      <c r="J15" s="56"/>
    </row>
    <row r="16" spans="1:10">
      <c r="A16" s="56"/>
      <c r="B16" s="125" t="s">
        <v>2</v>
      </c>
      <c r="C16" s="56"/>
      <c r="D16" s="149">
        <f>IS!G8</f>
        <v>33172</v>
      </c>
      <c r="E16" s="149">
        <f>IS!H8</f>
        <v>34315.686079999999</v>
      </c>
      <c r="F16" s="149">
        <f>IS!I8</f>
        <v>35688.888662399993</v>
      </c>
      <c r="G16" s="149">
        <f>IS!J8</f>
        <v>37318.555958271994</v>
      </c>
      <c r="H16" s="149">
        <f>IS!K8</f>
        <v>39243.381385100161</v>
      </c>
      <c r="I16" s="149">
        <f>IS!L8</f>
        <v>41267.005856659562</v>
      </c>
      <c r="J16" s="56"/>
    </row>
    <row r="17" spans="1:10">
      <c r="A17" s="56"/>
      <c r="B17" s="324" t="s">
        <v>8</v>
      </c>
      <c r="C17" s="56"/>
      <c r="D17" s="56"/>
      <c r="E17" s="513">
        <f>E16/D16-1</f>
        <v>3.4477453273845438E-2</v>
      </c>
      <c r="F17" s="513">
        <f>F16/E16-1</f>
        <v>4.0016760241909477E-2</v>
      </c>
      <c r="G17" s="513">
        <f>G16/F16-1</f>
        <v>4.5663156151705353E-2</v>
      </c>
      <c r="H17" s="513">
        <f>H16/G16-1</f>
        <v>5.1578239763093281E-2</v>
      </c>
      <c r="I17" s="513">
        <f>I16/H16-1</f>
        <v>5.1566006805104925E-2</v>
      </c>
      <c r="J17" s="56"/>
    </row>
    <row r="18" spans="1:10">
      <c r="A18" s="56"/>
      <c r="B18" s="125" t="s">
        <v>7</v>
      </c>
      <c r="C18" s="56"/>
      <c r="D18" s="149">
        <f>IS!G28</f>
        <v>7028</v>
      </c>
      <c r="E18" s="149">
        <f>IS!H28</f>
        <v>7146.8349644603468</v>
      </c>
      <c r="F18" s="149">
        <f>IS!I28</f>
        <v>7104.3206789734631</v>
      </c>
      <c r="G18" s="149">
        <f>IS!J28</f>
        <v>7245.4197998950849</v>
      </c>
      <c r="H18" s="149">
        <f>IS!K28</f>
        <v>7545.2306702016103</v>
      </c>
      <c r="I18" s="149">
        <f>IS!L28</f>
        <v>7904.175177954181</v>
      </c>
      <c r="J18" s="56"/>
    </row>
    <row r="19" spans="1:10">
      <c r="A19" s="56"/>
      <c r="B19" s="324" t="s">
        <v>269</v>
      </c>
      <c r="C19" s="56"/>
      <c r="D19" s="513">
        <f t="shared" ref="D19:I19" si="1">D18/D16</f>
        <v>0.21186542867478597</v>
      </c>
      <c r="E19" s="513">
        <f t="shared" si="1"/>
        <v>0.20826729058538895</v>
      </c>
      <c r="F19" s="513">
        <f t="shared" si="1"/>
        <v>0.19906253585470191</v>
      </c>
      <c r="G19" s="513">
        <f t="shared" si="1"/>
        <v>0.19415059382245664</v>
      </c>
      <c r="H19" s="513">
        <f t="shared" si="1"/>
        <v>0.19226759784431743</v>
      </c>
      <c r="I19" s="513">
        <f t="shared" si="1"/>
        <v>0.19153740412883929</v>
      </c>
      <c r="J19" s="56"/>
    </row>
    <row r="20" spans="1:10">
      <c r="A20" s="56"/>
      <c r="B20" s="125" t="s">
        <v>20</v>
      </c>
      <c r="C20" s="56"/>
      <c r="D20" s="149">
        <f>IS!G18</f>
        <v>6065</v>
      </c>
      <c r="E20" s="149">
        <f>IS!H18</f>
        <v>6274.7697503999971</v>
      </c>
      <c r="F20" s="149">
        <f>IS!I18</f>
        <v>6224.4318829119948</v>
      </c>
      <c r="G20" s="149">
        <f>IS!J18</f>
        <v>6328.7489398793532</v>
      </c>
      <c r="H20" s="149">
        <f>IS!K18</f>
        <v>6617.6276789941385</v>
      </c>
      <c r="I20" s="149">
        <f>IS!L18</f>
        <v>6913.8832824812716</v>
      </c>
      <c r="J20" s="56"/>
    </row>
    <row r="21" spans="1:10">
      <c r="A21" s="56"/>
      <c r="B21" s="324" t="s">
        <v>269</v>
      </c>
      <c r="C21" s="56"/>
      <c r="D21" s="513">
        <f>D20/D16</f>
        <v>0.1828349210177258</v>
      </c>
      <c r="E21" s="513">
        <f t="shared" ref="E21:I21" si="2">E20/E16</f>
        <v>0.18285427066128462</v>
      </c>
      <c r="F21" s="513">
        <f t="shared" si="2"/>
        <v>0.17440811737771317</v>
      </c>
      <c r="G21" s="513">
        <f t="shared" si="2"/>
        <v>0.16958718732192876</v>
      </c>
      <c r="H21" s="513">
        <f t="shared" si="2"/>
        <v>0.16863041474572588</v>
      </c>
      <c r="I21" s="513">
        <f t="shared" si="2"/>
        <v>0.16754022103024777</v>
      </c>
      <c r="J21" s="56"/>
    </row>
    <row r="22" spans="1:10">
      <c r="A22" s="56"/>
      <c r="B22" s="332"/>
      <c r="C22" s="56"/>
      <c r="D22" s="126"/>
      <c r="E22" s="126"/>
      <c r="F22" s="126"/>
      <c r="G22" s="126"/>
      <c r="H22" s="126"/>
      <c r="I22" s="126"/>
      <c r="J22" s="56"/>
    </row>
    <row r="23" spans="1:10">
      <c r="A23" s="56"/>
      <c r="B23" s="125" t="s">
        <v>270</v>
      </c>
      <c r="C23" s="56"/>
      <c r="D23" s="127">
        <f>D20*Assumptions!$N$39</f>
        <v>1273.6499999999999</v>
      </c>
      <c r="E23" s="127">
        <f>E20*Assumptions!$N$39</f>
        <v>1317.7016475839994</v>
      </c>
      <c r="F23" s="127">
        <f>F20*Assumptions!$N$39</f>
        <v>1307.1306954115189</v>
      </c>
      <c r="G23" s="127">
        <f>G20*Assumptions!$N$39</f>
        <v>1329.0372773746642</v>
      </c>
      <c r="H23" s="127">
        <f>H20*Assumptions!$N$39</f>
        <v>1389.7018125887689</v>
      </c>
      <c r="I23" s="127">
        <f>I20*Assumptions!$N$39</f>
        <v>1451.9154893210671</v>
      </c>
      <c r="J23" s="56"/>
    </row>
    <row r="24" spans="1:10">
      <c r="A24" s="56"/>
      <c r="B24" s="324" t="s">
        <v>6</v>
      </c>
      <c r="C24" s="56"/>
      <c r="D24" s="515">
        <f>Assumptions!$N$39</f>
        <v>0.21</v>
      </c>
      <c r="E24" s="515">
        <f>Assumptions!$N$39</f>
        <v>0.21</v>
      </c>
      <c r="F24" s="515">
        <f>Assumptions!$N$39</f>
        <v>0.21</v>
      </c>
      <c r="G24" s="515">
        <f>Assumptions!$N$39</f>
        <v>0.21</v>
      </c>
      <c r="H24" s="515">
        <f>Assumptions!$N$39</f>
        <v>0.21</v>
      </c>
      <c r="I24" s="515">
        <f>Assumptions!$N$39</f>
        <v>0.21</v>
      </c>
      <c r="J24" s="56"/>
    </row>
    <row r="25" spans="1:10">
      <c r="A25" s="56"/>
      <c r="B25" s="121" t="s">
        <v>271</v>
      </c>
      <c r="C25" s="56"/>
      <c r="D25" s="135">
        <f t="shared" ref="D25:I25" si="3">D20*(1-D24)</f>
        <v>4791.3500000000004</v>
      </c>
      <c r="E25" s="135">
        <f t="shared" si="3"/>
        <v>4957.0681028159979</v>
      </c>
      <c r="F25" s="135">
        <f t="shared" si="3"/>
        <v>4917.3011875004759</v>
      </c>
      <c r="G25" s="135">
        <f t="shared" si="3"/>
        <v>4999.7116625046892</v>
      </c>
      <c r="H25" s="135">
        <f t="shared" si="3"/>
        <v>5227.9258664053696</v>
      </c>
      <c r="I25" s="135">
        <f t="shared" si="3"/>
        <v>5461.9677931602046</v>
      </c>
      <c r="J25" s="56"/>
    </row>
    <row r="26" spans="1:10">
      <c r="A26" s="56"/>
      <c r="B26" s="56"/>
      <c r="C26" s="56"/>
      <c r="D26" s="127"/>
      <c r="E26" s="127"/>
      <c r="F26" s="127"/>
      <c r="G26" s="127"/>
      <c r="H26" s="127"/>
      <c r="I26" s="127"/>
      <c r="J26" s="56"/>
    </row>
    <row r="27" spans="1:10">
      <c r="A27" s="56"/>
      <c r="B27" s="125" t="s">
        <v>272</v>
      </c>
      <c r="C27" s="56"/>
      <c r="D27" s="126"/>
      <c r="E27" s="127">
        <f>-('D&amp;A Schedule'!G29)</f>
        <v>872.06521406034938</v>
      </c>
      <c r="F27" s="127">
        <f>-('D&amp;A Schedule'!H29)</f>
        <v>879.88879606146872</v>
      </c>
      <c r="G27" s="127">
        <f>-('D&amp;A Schedule'!I29)</f>
        <v>916.67086001573193</v>
      </c>
      <c r="H27" s="127">
        <f>-('D&amp;A Schedule'!J29)</f>
        <v>927.60299120747186</v>
      </c>
      <c r="I27" s="127">
        <f>-('D&amp;A Schedule'!K29)</f>
        <v>990.29189547290935</v>
      </c>
      <c r="J27" s="56"/>
    </row>
    <row r="28" spans="1:10">
      <c r="A28" s="56"/>
      <c r="B28" s="125" t="s">
        <v>38</v>
      </c>
      <c r="C28" s="56"/>
      <c r="D28" s="127"/>
      <c r="E28" s="127">
        <f>(SUM(BS!G10:G14)-SUM(BS!H10:H14))+(SUM(BS!H28:H31)-SUM(BS!G28:G31))</f>
        <v>-1482.4080975868346</v>
      </c>
      <c r="F28" s="127">
        <f>(SUM(BS!H10:H14)-SUM(BS!I10:I14))+(SUM(BS!I28:I31)-SUM(BS!H28:H31))</f>
        <v>-116.9518886767255</v>
      </c>
      <c r="G28" s="127">
        <f>(SUM(BS!I10:I14)-SUM(BS!J10:J14))+(SUM(BS!J28:J31)-SUM(BS!I28:I31))</f>
        <v>-168.11418668606348</v>
      </c>
      <c r="H28" s="127">
        <f>(SUM(BS!J10:J14)-SUM(BS!K10:K14))+(SUM(BS!K28:K31)-SUM(BS!J28:J31))</f>
        <v>-205.33464917589299</v>
      </c>
      <c r="I28" s="127">
        <f>(SUM(BS!K10:K14)-SUM(BS!L10:L14))+(SUM(BS!L28:L31)-SUM(BS!K28:K31))</f>
        <v>-221.71753663635172</v>
      </c>
      <c r="J28" s="56"/>
    </row>
    <row r="29" spans="1:10">
      <c r="A29" s="56"/>
      <c r="B29" s="125" t="s">
        <v>12</v>
      </c>
      <c r="C29" s="56"/>
      <c r="D29" s="126"/>
      <c r="E29" s="149">
        <f>'D&amp;A Schedule'!G22</f>
        <v>823.57646592000003</v>
      </c>
      <c r="F29" s="149">
        <f>'D&amp;A Schedule'!H22</f>
        <v>856.53332789759986</v>
      </c>
      <c r="G29" s="149">
        <f>'D&amp;A Schedule'!I22</f>
        <v>895.64534299852789</v>
      </c>
      <c r="H29" s="149">
        <f>'D&amp;A Schedule'!J22</f>
        <v>941.84115324240395</v>
      </c>
      <c r="I29" s="149">
        <f>'D&amp;A Schedule'!K22</f>
        <v>990.40814055982946</v>
      </c>
      <c r="J29" s="56"/>
    </row>
    <row r="30" spans="1:10">
      <c r="A30" s="56"/>
      <c r="B30" s="324" t="s">
        <v>273</v>
      </c>
      <c r="C30" s="56"/>
      <c r="D30" s="126"/>
      <c r="E30" s="513">
        <f>E29/E16</f>
        <v>2.4E-2</v>
      </c>
      <c r="F30" s="513">
        <f>F29/F16</f>
        <v>2.4E-2</v>
      </c>
      <c r="G30" s="513">
        <f>G29/G16</f>
        <v>2.4E-2</v>
      </c>
      <c r="H30" s="513">
        <f>H29/H16</f>
        <v>2.4E-2</v>
      </c>
      <c r="I30" s="513">
        <f>I29/I16</f>
        <v>2.4E-2</v>
      </c>
      <c r="J30" s="56"/>
    </row>
    <row r="31" spans="1:10">
      <c r="A31" s="56"/>
      <c r="B31" s="324"/>
      <c r="C31" s="56"/>
      <c r="D31" s="126"/>
      <c r="E31" s="513"/>
      <c r="F31" s="513"/>
      <c r="G31" s="513"/>
      <c r="H31" s="513"/>
      <c r="I31" s="513"/>
      <c r="J31" s="56"/>
    </row>
    <row r="32" spans="1:10">
      <c r="A32" s="56"/>
      <c r="B32" s="121" t="s">
        <v>274</v>
      </c>
      <c r="C32" s="56"/>
      <c r="D32" s="135"/>
      <c r="E32" s="135">
        <f>E25+E27+E28-E29</f>
        <v>3523.1487533695131</v>
      </c>
      <c r="F32" s="135">
        <f>F25+F27+F28-F29</f>
        <v>4823.7047669876192</v>
      </c>
      <c r="G32" s="135">
        <f>G25+G27+G28-G29</f>
        <v>4852.6229928358298</v>
      </c>
      <c r="H32" s="135">
        <f>H25+H27+H28-H29</f>
        <v>5008.3530551945441</v>
      </c>
      <c r="I32" s="135">
        <f>I25+I27+I28-I29</f>
        <v>5240.1340114369323</v>
      </c>
      <c r="J32" s="56"/>
    </row>
    <row r="33" spans="1:10">
      <c r="A33" s="56"/>
      <c r="B33" s="56"/>
      <c r="C33" s="56"/>
      <c r="D33" s="126"/>
      <c r="E33" s="56"/>
      <c r="F33" s="56"/>
      <c r="G33" s="56"/>
      <c r="H33" s="56"/>
      <c r="I33" s="56"/>
      <c r="J33" s="56"/>
    </row>
    <row r="34" spans="1:10">
      <c r="A34" s="56"/>
      <c r="B34" s="125" t="s">
        <v>275</v>
      </c>
      <c r="C34" s="56"/>
      <c r="D34" s="126"/>
      <c r="E34" s="127">
        <f>SUM(BS!H10:H14)-SUM(BS!H28:H31)</f>
        <v>4376.4080975868346</v>
      </c>
      <c r="F34" s="127">
        <f>SUM(BS!I10:I14)-SUM(BS!I28:I31)</f>
        <v>4493.3599862635601</v>
      </c>
      <c r="G34" s="127">
        <f>SUM(BS!J10:J14)-SUM(BS!J28:J31)</f>
        <v>4661.4741729496236</v>
      </c>
      <c r="H34" s="127">
        <f>SUM(BS!K10:K14)-SUM(BS!K28:K31)</f>
        <v>4866.8088221255166</v>
      </c>
      <c r="I34" s="127">
        <f>SUM(BS!L10:L14)-SUM(BS!L28:L31)</f>
        <v>5088.5263587618683</v>
      </c>
      <c r="J34" s="56"/>
    </row>
    <row r="35" spans="1:10">
      <c r="A35" s="56"/>
      <c r="B35" s="324" t="s">
        <v>273</v>
      </c>
      <c r="C35" s="56"/>
      <c r="D35" s="513"/>
      <c r="E35" s="513">
        <f>E34/E16</f>
        <v>0.12753374906694667</v>
      </c>
      <c r="F35" s="513">
        <f>F34/F16</f>
        <v>0.12590361187115184</v>
      </c>
      <c r="G35" s="513">
        <f>G34/G16</f>
        <v>0.12491035768270037</v>
      </c>
      <c r="H35" s="513">
        <f>H34/H16</f>
        <v>0.12401604169546245</v>
      </c>
      <c r="I35" s="513">
        <f>I34/I16</f>
        <v>0.12330737966395726</v>
      </c>
      <c r="J35" s="56"/>
    </row>
    <row r="36" spans="1:10">
      <c r="A36" s="56"/>
      <c r="B36" s="332"/>
      <c r="C36" s="332"/>
      <c r="D36" s="513"/>
      <c r="E36" s="513"/>
      <c r="F36" s="513"/>
      <c r="G36" s="513"/>
      <c r="H36" s="513"/>
      <c r="I36" s="513"/>
      <c r="J36" s="56"/>
    </row>
    <row r="37" spans="1:10">
      <c r="A37" s="56"/>
      <c r="B37" s="516" t="s">
        <v>276</v>
      </c>
      <c r="C37" s="517"/>
      <c r="D37" s="517"/>
      <c r="E37" s="513"/>
      <c r="F37" s="513"/>
      <c r="G37" s="513"/>
      <c r="H37" s="513"/>
      <c r="I37" s="513"/>
      <c r="J37" s="56"/>
    </row>
    <row r="38" spans="1:10">
      <c r="A38" s="56"/>
      <c r="B38" s="389"/>
      <c r="C38" s="389"/>
      <c r="D38" s="389"/>
      <c r="E38" s="389"/>
      <c r="F38" s="513"/>
      <c r="G38" s="513"/>
      <c r="H38" s="513"/>
      <c r="I38" s="513"/>
      <c r="J38" s="56"/>
    </row>
    <row r="39" spans="1:10" ht="15.6">
      <c r="A39" s="56"/>
      <c r="B39" s="429" t="s">
        <v>586</v>
      </c>
      <c r="C39" s="389"/>
      <c r="D39" s="389"/>
      <c r="E39" s="518">
        <v>4.3700000000000003E-2</v>
      </c>
      <c r="F39" s="513"/>
      <c r="G39" s="513"/>
      <c r="H39" s="513"/>
      <c r="I39" s="513"/>
      <c r="J39" s="56"/>
    </row>
    <row r="40" spans="1:10">
      <c r="A40" s="56"/>
      <c r="B40" s="429" t="s">
        <v>277</v>
      </c>
      <c r="C40" s="389"/>
      <c r="D40" s="389"/>
      <c r="E40" s="639">
        <v>1.34</v>
      </c>
      <c r="F40" s="513"/>
      <c r="G40" s="513"/>
      <c r="H40" s="513"/>
      <c r="I40" s="513"/>
      <c r="J40" s="56"/>
    </row>
    <row r="41" spans="1:10" ht="15.6">
      <c r="A41" s="56"/>
      <c r="B41" s="429" t="s">
        <v>587</v>
      </c>
      <c r="C41" s="389"/>
      <c r="D41" s="389"/>
      <c r="E41" s="518">
        <v>0.05</v>
      </c>
      <c r="F41" s="513"/>
      <c r="G41" s="513"/>
      <c r="H41" s="513"/>
      <c r="I41" s="513"/>
      <c r="J41" s="56"/>
    </row>
    <row r="42" spans="1:10" ht="15.6">
      <c r="A42" s="56"/>
      <c r="B42" s="519" t="s">
        <v>588</v>
      </c>
      <c r="C42" s="520"/>
      <c r="D42" s="521"/>
      <c r="E42" s="261">
        <f>E39+E40*E41</f>
        <v>0.11070000000000001</v>
      </c>
      <c r="F42" s="513"/>
      <c r="G42" s="513"/>
      <c r="H42" s="513"/>
      <c r="I42" s="513"/>
      <c r="J42" s="56"/>
    </row>
    <row r="43" spans="1:10">
      <c r="A43" s="56"/>
      <c r="B43" s="389"/>
      <c r="C43" s="389"/>
      <c r="D43" s="389"/>
      <c r="E43" s="389"/>
      <c r="F43" s="513"/>
      <c r="G43" s="513"/>
      <c r="H43" s="513"/>
      <c r="I43" s="513"/>
      <c r="J43" s="56"/>
    </row>
    <row r="44" spans="1:10">
      <c r="A44" s="56"/>
      <c r="B44" s="429" t="s">
        <v>25</v>
      </c>
      <c r="C44" s="389"/>
      <c r="D44" s="389"/>
      <c r="E44" s="151">
        <v>0.05</v>
      </c>
      <c r="F44" s="513"/>
      <c r="G44" s="513"/>
      <c r="H44" s="513"/>
      <c r="I44" s="513"/>
      <c r="J44" s="56"/>
    </row>
    <row r="45" spans="1:10">
      <c r="A45" s="56"/>
      <c r="B45" s="429" t="s">
        <v>6</v>
      </c>
      <c r="C45" s="389"/>
      <c r="D45" s="389"/>
      <c r="E45" s="522">
        <f>Assumptions!N39</f>
        <v>0.21</v>
      </c>
      <c r="F45" s="513"/>
      <c r="G45" s="513"/>
      <c r="H45" s="513"/>
      <c r="I45" s="513"/>
      <c r="J45" s="56"/>
    </row>
    <row r="46" spans="1:10" ht="15.6">
      <c r="A46" s="56"/>
      <c r="B46" s="519" t="s">
        <v>589</v>
      </c>
      <c r="C46" s="520"/>
      <c r="D46" s="520"/>
      <c r="E46" s="261">
        <f>E44*(1-E45)</f>
        <v>3.9500000000000007E-2</v>
      </c>
      <c r="F46" s="513"/>
      <c r="G46" s="513"/>
      <c r="H46" s="513"/>
      <c r="I46" s="513"/>
      <c r="J46" s="56"/>
    </row>
    <row r="47" spans="1:10">
      <c r="A47" s="56"/>
      <c r="B47" s="389"/>
      <c r="C47" s="389"/>
      <c r="D47" s="389"/>
      <c r="E47" s="389"/>
      <c r="F47" s="513"/>
      <c r="G47" s="513"/>
      <c r="H47" s="513"/>
      <c r="I47" s="513"/>
      <c r="J47" s="56"/>
    </row>
    <row r="48" spans="1:10">
      <c r="A48" s="56"/>
      <c r="B48" s="523" t="s">
        <v>278</v>
      </c>
      <c r="C48" s="389"/>
      <c r="D48" s="389"/>
      <c r="E48" s="389"/>
      <c r="F48" s="513"/>
      <c r="G48" s="513"/>
      <c r="H48" s="513"/>
      <c r="I48" s="513"/>
      <c r="J48" s="56"/>
    </row>
    <row r="49" spans="1:10">
      <c r="A49" s="56"/>
      <c r="B49" s="524" t="s">
        <v>279</v>
      </c>
      <c r="C49" s="389"/>
      <c r="D49" s="167">
        <f>'Debt Schedule'!H32</f>
        <v>11383</v>
      </c>
      <c r="E49" s="262">
        <f>D49/D51</f>
        <v>0.20813835839739328</v>
      </c>
      <c r="F49" s="513"/>
      <c r="G49" s="513"/>
      <c r="H49" s="513"/>
      <c r="I49" s="513"/>
      <c r="J49" s="56"/>
    </row>
    <row r="50" spans="1:10">
      <c r="A50" s="56"/>
      <c r="B50" s="524" t="s">
        <v>65</v>
      </c>
      <c r="C50" s="389"/>
      <c r="D50" s="241">
        <f>'Equity Schedule'!G29*(Assumptions!$N$7)</f>
        <v>43306.582869999998</v>
      </c>
      <c r="E50" s="262">
        <f>D50/D51</f>
        <v>0.79186164160260675</v>
      </c>
      <c r="F50" s="513"/>
      <c r="G50" s="513"/>
      <c r="H50" s="513"/>
      <c r="I50" s="513"/>
      <c r="J50" s="56"/>
    </row>
    <row r="51" spans="1:10">
      <c r="A51" s="56"/>
      <c r="B51" s="525" t="s">
        <v>280</v>
      </c>
      <c r="C51" s="520"/>
      <c r="D51" s="526">
        <f>SUM(D49:D50)</f>
        <v>54689.582869999998</v>
      </c>
      <c r="E51" s="261">
        <f>SUM(E49:E50)</f>
        <v>1</v>
      </c>
      <c r="F51" s="513"/>
      <c r="G51" s="513"/>
      <c r="H51" s="513"/>
      <c r="I51" s="513"/>
      <c r="J51" s="56"/>
    </row>
    <row r="52" spans="1:10">
      <c r="A52" s="56"/>
      <c r="B52" s="389"/>
      <c r="C52" s="389"/>
      <c r="D52" s="389"/>
      <c r="E52" s="527"/>
      <c r="F52" s="513"/>
      <c r="G52" s="513"/>
      <c r="H52" s="513"/>
      <c r="I52" s="513"/>
      <c r="J52" s="56"/>
    </row>
    <row r="53" spans="1:10" ht="14.4" thickBot="1">
      <c r="A53" s="56"/>
      <c r="B53" s="528" t="s">
        <v>276</v>
      </c>
      <c r="C53" s="529"/>
      <c r="D53" s="529"/>
      <c r="E53" s="530">
        <f>E42*E50+E46*E49</f>
        <v>9.5880548882105621E-2</v>
      </c>
      <c r="F53" s="513"/>
      <c r="G53" s="513"/>
      <c r="H53" s="513"/>
      <c r="I53" s="513"/>
      <c r="J53" s="56"/>
    </row>
    <row r="54" spans="1:10" ht="14.4" thickTop="1">
      <c r="A54" s="56"/>
      <c r="B54" s="332"/>
      <c r="C54" s="332"/>
      <c r="D54" s="56"/>
      <c r="E54" s="513"/>
      <c r="F54" s="513"/>
      <c r="G54" s="513"/>
      <c r="H54" s="513"/>
      <c r="I54" s="513"/>
      <c r="J54" s="56"/>
    </row>
    <row r="55" spans="1:10">
      <c r="A55" s="56"/>
      <c r="B55" s="473" t="str">
        <f>"Present value of UFCF on "&amp;TEXT(C9,"mmm dd, yyyy")&amp;" valuation date"</f>
        <v>Present value of UFCF on Jul 01, 2026 valuation date</v>
      </c>
      <c r="C55" s="474"/>
      <c r="D55" s="531"/>
      <c r="E55" s="474"/>
      <c r="F55" s="531"/>
      <c r="G55" s="531"/>
      <c r="H55" s="531"/>
      <c r="I55" s="531"/>
      <c r="J55" s="56"/>
    </row>
    <row r="56" spans="1:10" ht="15.6">
      <c r="A56" s="56"/>
      <c r="B56" s="336"/>
      <c r="C56" s="354"/>
      <c r="D56" s="532" t="s">
        <v>281</v>
      </c>
      <c r="E56" s="532" t="s">
        <v>282</v>
      </c>
      <c r="F56" s="533" t="s">
        <v>283</v>
      </c>
      <c r="G56" s="533" t="s">
        <v>284</v>
      </c>
      <c r="H56" s="533" t="s">
        <v>285</v>
      </c>
      <c r="I56" s="533" t="s">
        <v>286</v>
      </c>
      <c r="J56" s="56"/>
    </row>
    <row r="57" spans="1:10">
      <c r="A57" s="56"/>
      <c r="B57" s="125" t="s">
        <v>287</v>
      </c>
      <c r="C57" s="354"/>
      <c r="D57" s="263">
        <f>C9</f>
        <v>46204</v>
      </c>
      <c r="E57" s="263">
        <f>IF($I$9=1,AVERAGE(E14,$D$57),E14)</f>
        <v>46387</v>
      </c>
      <c r="F57" s="263">
        <f>IF($I$9=1,AVERAGE(F14,$D$57),F14)</f>
        <v>46752</v>
      </c>
      <c r="G57" s="263">
        <f>IF($I$9=1,AVERAGE(G14,$D$57),G14)</f>
        <v>47118</v>
      </c>
      <c r="H57" s="263">
        <f>IF($I$9=1,AVERAGE(H14,$D$57),H14)</f>
        <v>47483</v>
      </c>
      <c r="I57" s="263">
        <f>IF($I$9=1,AVERAGE(I14,$D$57),I14)</f>
        <v>47848</v>
      </c>
      <c r="J57" s="56"/>
    </row>
    <row r="58" spans="1:10">
      <c r="A58" s="56"/>
      <c r="B58" s="125" t="s">
        <v>288</v>
      </c>
      <c r="C58" s="376">
        <f>C10</f>
        <v>0.5</v>
      </c>
      <c r="D58" s="76"/>
      <c r="E58" s="534">
        <f>E32*C58</f>
        <v>1761.5743766847565</v>
      </c>
      <c r="F58" s="534">
        <f>F32</f>
        <v>4823.7047669876192</v>
      </c>
      <c r="G58" s="534">
        <f>G32</f>
        <v>4852.6229928358298</v>
      </c>
      <c r="H58" s="534">
        <f>H32</f>
        <v>5008.3530551945441</v>
      </c>
      <c r="I58" s="534">
        <f>I32</f>
        <v>5240.1340114369323</v>
      </c>
      <c r="J58" s="56"/>
    </row>
    <row r="59" spans="1:10">
      <c r="A59" s="56"/>
      <c r="B59" s="121" t="s">
        <v>289</v>
      </c>
      <c r="C59" s="121"/>
      <c r="D59" s="135"/>
      <c r="E59" s="135">
        <f>E58/(1+$I$6)^((E57-$C$9)/365)</f>
        <v>1682.5380914085738</v>
      </c>
      <c r="F59" s="135">
        <f>F58/(1+$I$6)^((F57-$C$9)/365)</f>
        <v>4204.1811541376983</v>
      </c>
      <c r="G59" s="135">
        <f t="shared" ref="G59:I59" si="4">G58/(1+$I$6)^((G57-$C$9)/365)</f>
        <v>3858.3808617962577</v>
      </c>
      <c r="H59" s="135">
        <f t="shared" si="4"/>
        <v>3633.7936413157199</v>
      </c>
      <c r="I59" s="135">
        <f t="shared" si="4"/>
        <v>3469.3211181229517</v>
      </c>
      <c r="J59" s="56"/>
    </row>
    <row r="60" spans="1:10">
      <c r="A60" s="56"/>
      <c r="B60" s="56"/>
      <c r="C60" s="56"/>
      <c r="D60" s="56"/>
      <c r="E60" s="56"/>
      <c r="F60" s="56"/>
      <c r="G60" s="56"/>
      <c r="H60" s="56"/>
      <c r="I60" s="56"/>
      <c r="J60" s="56"/>
    </row>
    <row r="61" spans="1:10">
      <c r="A61" s="56"/>
      <c r="B61" s="473" t="s">
        <v>290</v>
      </c>
      <c r="C61" s="475"/>
      <c r="D61" s="56"/>
      <c r="E61" s="473" t="s">
        <v>291</v>
      </c>
      <c r="F61" s="474"/>
      <c r="G61" s="474"/>
      <c r="H61" s="474"/>
      <c r="I61" s="474"/>
      <c r="J61" s="56"/>
    </row>
    <row r="62" spans="1:10">
      <c r="A62" s="56"/>
      <c r="B62" s="125" t="s">
        <v>292</v>
      </c>
      <c r="C62" s="321">
        <v>5.0000000000000001E-3</v>
      </c>
      <c r="D62" s="56"/>
      <c r="E62" s="125" t="s">
        <v>21</v>
      </c>
      <c r="F62" s="56"/>
      <c r="G62" s="56"/>
      <c r="H62" s="56"/>
      <c r="I62" s="127">
        <f>I18</f>
        <v>7904.175177954181</v>
      </c>
      <c r="J62" s="56"/>
    </row>
    <row r="63" spans="1:10">
      <c r="A63" s="56"/>
      <c r="B63" s="264" t="str">
        <f>YEAR(I14)&amp;" FCF x (1+g)"</f>
        <v>2030 FCF x (1+g)</v>
      </c>
      <c r="C63" s="127">
        <f>I58*(1+C62)</f>
        <v>5266.334681494116</v>
      </c>
      <c r="D63" s="56"/>
      <c r="E63" s="125" t="s">
        <v>293</v>
      </c>
      <c r="F63" s="56"/>
      <c r="G63" s="56"/>
      <c r="H63" s="56"/>
      <c r="I63" s="345">
        <v>7</v>
      </c>
      <c r="J63" s="56"/>
    </row>
    <row r="64" spans="1:10">
      <c r="A64" s="56"/>
      <c r="B64" s="125" t="str">
        <f>"Terminal value in "&amp;YEAR(I14)</f>
        <v>Terminal value in 2030</v>
      </c>
      <c r="C64" s="127">
        <f>C63/(I6-C62)</f>
        <v>57947.8749443497</v>
      </c>
      <c r="D64" s="56"/>
      <c r="E64" s="125" t="str">
        <f>"Terminal value in "&amp;YEAR(I14)</f>
        <v>Terminal value in 2030</v>
      </c>
      <c r="F64" s="56"/>
      <c r="G64" s="56"/>
      <c r="H64" s="56"/>
      <c r="I64" s="127">
        <f>I62*I63</f>
        <v>55329.226245679267</v>
      </c>
      <c r="J64" s="56"/>
    </row>
    <row r="65" spans="1:10">
      <c r="A65" s="56"/>
      <c r="B65" s="125" t="s">
        <v>22</v>
      </c>
      <c r="C65" s="127">
        <f>C64/(1+I6)^((I14-$D$57)/365)</f>
        <v>38365.390246890238</v>
      </c>
      <c r="D65" s="56"/>
      <c r="E65" s="125" t="s">
        <v>22</v>
      </c>
      <c r="F65" s="56"/>
      <c r="G65" s="56"/>
      <c r="H65" s="56"/>
      <c r="I65" s="127">
        <f>I64/(1+I6)^((I14-D57)/365)</f>
        <v>36631.668702476665</v>
      </c>
      <c r="J65" s="56"/>
    </row>
    <row r="66" spans="1:10">
      <c r="A66" s="56"/>
      <c r="B66" s="125" t="s">
        <v>23</v>
      </c>
      <c r="C66" s="127">
        <f>SUM(E59:I59)</f>
        <v>16848.2148667812</v>
      </c>
      <c r="D66" s="56"/>
      <c r="E66" s="125" t="s">
        <v>23</v>
      </c>
      <c r="F66" s="56"/>
      <c r="G66" s="56"/>
      <c r="H66" s="56"/>
      <c r="I66" s="127">
        <f>C66</f>
        <v>16848.2148667812</v>
      </c>
      <c r="J66" s="56"/>
    </row>
    <row r="67" spans="1:10">
      <c r="A67" s="56"/>
      <c r="B67" s="121" t="s">
        <v>294</v>
      </c>
      <c r="C67" s="135">
        <f>C66+C65</f>
        <v>55213.605113671438</v>
      </c>
      <c r="D67" s="56"/>
      <c r="E67" s="121" t="s">
        <v>295</v>
      </c>
      <c r="F67" s="56"/>
      <c r="G67" s="56"/>
      <c r="H67" s="56"/>
      <c r="I67" s="135">
        <f>SUM(I65:I66)</f>
        <v>53479.883569257865</v>
      </c>
      <c r="J67" s="56"/>
    </row>
    <row r="68" spans="1:10">
      <c r="A68" s="56"/>
      <c r="B68" s="56"/>
      <c r="C68" s="56"/>
      <c r="D68" s="56"/>
      <c r="E68" s="56"/>
      <c r="F68" s="56"/>
      <c r="G68" s="56"/>
      <c r="H68" s="56"/>
      <c r="I68" s="56"/>
      <c r="J68" s="56"/>
    </row>
    <row r="69" spans="1:10">
      <c r="A69" s="56"/>
      <c r="B69" s="459" t="s">
        <v>296</v>
      </c>
      <c r="C69" s="535">
        <f>C65/$C$67</f>
        <v>0.6948539253668583</v>
      </c>
      <c r="D69" s="56"/>
      <c r="E69" s="459" t="s">
        <v>296</v>
      </c>
      <c r="F69" s="56"/>
      <c r="G69" s="56"/>
      <c r="H69" s="56"/>
      <c r="I69" s="535">
        <f>+I65/I67</f>
        <v>0.68496163898782025</v>
      </c>
      <c r="J69" s="56"/>
    </row>
    <row r="70" spans="1:10">
      <c r="A70" s="56"/>
      <c r="B70" s="459" t="s">
        <v>297</v>
      </c>
      <c r="C70" s="535">
        <f>1-C69</f>
        <v>0.3051460746331417</v>
      </c>
      <c r="D70" s="56"/>
      <c r="E70" s="459" t="s">
        <v>298</v>
      </c>
      <c r="F70" s="56"/>
      <c r="G70" s="381"/>
      <c r="H70" s="56"/>
      <c r="I70" s="137">
        <f>1-I69</f>
        <v>0.31503836101217975</v>
      </c>
      <c r="J70" s="56"/>
    </row>
    <row r="71" spans="1:10">
      <c r="A71" s="56"/>
      <c r="B71" s="459" t="s">
        <v>29</v>
      </c>
      <c r="C71" s="536">
        <f>(C64/I18)</f>
        <v>7.3312994259001494</v>
      </c>
      <c r="D71" s="56"/>
      <c r="E71" s="200" t="s">
        <v>380</v>
      </c>
      <c r="F71" s="56"/>
      <c r="G71" s="56"/>
      <c r="H71" s="56"/>
      <c r="I71" s="640">
        <f>(I6-I58/I64)/(1+I58/I64)</f>
        <v>1.0708808867331443E-3</v>
      </c>
      <c r="J71" s="56"/>
    </row>
    <row r="72" spans="1:10">
      <c r="A72" s="56"/>
      <c r="B72" s="537"/>
      <c r="C72" s="80"/>
      <c r="D72" s="538"/>
      <c r="E72" s="56"/>
      <c r="F72" s="56"/>
      <c r="G72" s="56"/>
      <c r="H72" s="56"/>
      <c r="I72" s="539"/>
      <c r="J72" s="56"/>
    </row>
    <row r="73" spans="1:10">
      <c r="A73" s="56"/>
      <c r="B73" s="473" t="s">
        <v>10</v>
      </c>
      <c r="C73" s="474"/>
      <c r="D73" s="56"/>
      <c r="E73" s="336"/>
      <c r="F73" s="56"/>
      <c r="G73" s="336"/>
      <c r="H73" s="56"/>
      <c r="I73" s="56"/>
      <c r="J73" s="56"/>
    </row>
    <row r="74" spans="1:10">
      <c r="A74" s="56"/>
      <c r="B74" s="125" t="s">
        <v>299</v>
      </c>
      <c r="C74" s="265" t="s">
        <v>334</v>
      </c>
      <c r="D74" s="56"/>
      <c r="E74" s="56"/>
      <c r="F74" s="56"/>
      <c r="G74" s="56"/>
      <c r="H74" s="56"/>
      <c r="I74" s="56"/>
      <c r="J74" s="56"/>
    </row>
    <row r="75" spans="1:10">
      <c r="A75" s="56"/>
      <c r="B75" s="176" t="s">
        <v>300</v>
      </c>
      <c r="C75" s="123">
        <f>C9</f>
        <v>46204</v>
      </c>
      <c r="D75" s="56"/>
      <c r="E75" s="56"/>
      <c r="F75" s="56"/>
      <c r="G75" s="540"/>
      <c r="H75" s="341"/>
      <c r="I75" s="341"/>
      <c r="J75" s="56"/>
    </row>
    <row r="76" spans="1:10">
      <c r="A76" s="56"/>
      <c r="B76" s="541" t="s">
        <v>301</v>
      </c>
      <c r="C76" s="123"/>
      <c r="D76" s="56"/>
      <c r="E76" s="56"/>
      <c r="F76" s="56"/>
      <c r="G76" s="122"/>
      <c r="H76" s="122"/>
      <c r="I76" s="542"/>
      <c r="J76" s="56"/>
    </row>
    <row r="77" spans="1:10">
      <c r="A77" s="56"/>
      <c r="B77" s="324" t="s">
        <v>279</v>
      </c>
      <c r="C77" s="127">
        <f>D49</f>
        <v>11383</v>
      </c>
      <c r="D77" s="56"/>
      <c r="E77" s="77"/>
      <c r="F77" s="56"/>
      <c r="G77" s="122"/>
      <c r="H77" s="122"/>
      <c r="I77" s="542"/>
      <c r="J77" s="56"/>
    </row>
    <row r="78" spans="1:10">
      <c r="A78" s="56"/>
      <c r="B78" s="324" t="s">
        <v>302</v>
      </c>
      <c r="C78" s="143">
        <v>0</v>
      </c>
      <c r="D78" s="56"/>
      <c r="E78" s="77"/>
      <c r="F78" s="56"/>
      <c r="G78" s="122"/>
      <c r="H78" s="122"/>
      <c r="I78" s="124"/>
      <c r="J78" s="56"/>
    </row>
    <row r="79" spans="1:10">
      <c r="A79" s="56"/>
      <c r="B79" s="324" t="s">
        <v>55</v>
      </c>
      <c r="C79" s="143">
        <v>0</v>
      </c>
      <c r="D79" s="56"/>
      <c r="E79" s="56"/>
      <c r="F79" s="56"/>
      <c r="G79" s="122"/>
      <c r="H79" s="122"/>
      <c r="I79" s="124"/>
      <c r="J79" s="56"/>
    </row>
    <row r="80" spans="1:10">
      <c r="A80" s="56"/>
      <c r="B80" s="324" t="s">
        <v>303</v>
      </c>
      <c r="C80" s="143">
        <v>0</v>
      </c>
      <c r="D80" s="56"/>
      <c r="E80" s="56"/>
      <c r="F80" s="56"/>
      <c r="G80" s="122"/>
      <c r="H80" s="122"/>
      <c r="I80" s="124"/>
      <c r="J80" s="56"/>
    </row>
    <row r="81" spans="1:10">
      <c r="A81" s="56"/>
      <c r="B81" s="541" t="s">
        <v>304</v>
      </c>
      <c r="C81" s="56"/>
      <c r="D81" s="56"/>
      <c r="E81" s="56"/>
      <c r="F81" s="56"/>
      <c r="G81" s="56"/>
      <c r="H81" s="56"/>
      <c r="I81" s="56"/>
      <c r="J81" s="56"/>
    </row>
    <row r="82" spans="1:10">
      <c r="A82" s="56"/>
      <c r="B82" s="543" t="s">
        <v>305</v>
      </c>
      <c r="C82" s="149">
        <f>BS!G9</f>
        <v>10422</v>
      </c>
      <c r="D82" s="56"/>
      <c r="E82" s="56"/>
      <c r="F82" s="56"/>
      <c r="G82" s="56"/>
      <c r="H82" s="56"/>
      <c r="I82" s="56"/>
      <c r="J82" s="56"/>
    </row>
    <row r="83" spans="1:10">
      <c r="A83" s="56"/>
      <c r="B83" s="543" t="s">
        <v>126</v>
      </c>
      <c r="C83" s="149">
        <f>BS!G17</f>
        <v>4330</v>
      </c>
      <c r="D83" s="56"/>
      <c r="E83" s="56"/>
      <c r="F83" s="56"/>
      <c r="G83" s="56"/>
      <c r="H83" s="56"/>
      <c r="I83" s="56"/>
      <c r="J83" s="56"/>
    </row>
    <row r="84" spans="1:10">
      <c r="A84" s="56"/>
      <c r="B84" s="56"/>
      <c r="C84" s="56"/>
      <c r="D84" s="56"/>
      <c r="E84" s="56"/>
      <c r="F84" s="56"/>
      <c r="G84" s="56"/>
      <c r="H84" s="56"/>
      <c r="I84" s="56"/>
      <c r="J84" s="56"/>
    </row>
    <row r="85" spans="1:10">
      <c r="A85" s="56"/>
      <c r="B85" s="544" t="s">
        <v>10</v>
      </c>
      <c r="C85" s="254">
        <f>SUM(C77:C80)-SUM(C82:C83)</f>
        <v>-3369</v>
      </c>
      <c r="D85" s="56"/>
      <c r="E85" s="56"/>
      <c r="F85" s="56"/>
      <c r="G85" s="56"/>
      <c r="H85" s="56"/>
      <c r="I85" s="56"/>
      <c r="J85" s="56"/>
    </row>
    <row r="86" spans="1:10">
      <c r="A86" s="56"/>
      <c r="B86" s="545"/>
      <c r="C86" s="107"/>
      <c r="D86" s="56"/>
      <c r="E86" s="56"/>
      <c r="F86" s="56"/>
      <c r="G86" s="56"/>
      <c r="H86" s="56"/>
      <c r="I86" s="56"/>
      <c r="J86" s="56"/>
    </row>
    <row r="87" spans="1:10">
      <c r="A87" s="56"/>
      <c r="B87" s="546" t="s">
        <v>26</v>
      </c>
      <c r="C87" s="547">
        <f>'Equity Schedule'!G29</f>
        <v>952.42099999999994</v>
      </c>
      <c r="D87" s="56"/>
      <c r="E87" s="56"/>
      <c r="F87" s="56"/>
      <c r="G87" s="56"/>
      <c r="H87" s="56"/>
      <c r="I87" s="56"/>
      <c r="J87" s="56"/>
    </row>
    <row r="88" spans="1:10">
      <c r="A88" s="56"/>
      <c r="B88" s="56"/>
      <c r="C88" s="56"/>
      <c r="D88" s="56"/>
      <c r="E88" s="56"/>
      <c r="F88" s="56"/>
      <c r="G88" s="56"/>
      <c r="H88" s="56"/>
      <c r="I88" s="56"/>
      <c r="J88" s="56"/>
    </row>
    <row r="89" spans="1:10">
      <c r="A89" s="56"/>
      <c r="B89" s="473" t="s">
        <v>306</v>
      </c>
      <c r="C89" s="474"/>
      <c r="D89" s="474"/>
      <c r="E89" s="56"/>
      <c r="F89" s="56"/>
      <c r="G89" s="56"/>
      <c r="H89" s="56"/>
      <c r="I89" s="56"/>
      <c r="J89" s="56"/>
    </row>
    <row r="90" spans="1:10" ht="15.6">
      <c r="A90" s="56"/>
      <c r="B90" s="56"/>
      <c r="C90" s="476" t="s">
        <v>27</v>
      </c>
      <c r="D90" s="476" t="s">
        <v>7</v>
      </c>
      <c r="E90" s="56"/>
      <c r="F90" s="56"/>
      <c r="G90" s="56"/>
      <c r="H90" s="56"/>
      <c r="I90" s="56"/>
      <c r="J90" s="56"/>
    </row>
    <row r="91" spans="1:10">
      <c r="A91" s="56"/>
      <c r="B91" s="125" t="s">
        <v>28</v>
      </c>
      <c r="C91" s="278">
        <f>C67</f>
        <v>55213.605113671438</v>
      </c>
      <c r="D91" s="278">
        <f>I67</f>
        <v>53479.883569257865</v>
      </c>
      <c r="E91" s="56"/>
      <c r="F91" s="56"/>
      <c r="G91" s="56"/>
      <c r="H91" s="56"/>
      <c r="I91" s="56"/>
      <c r="J91" s="56"/>
    </row>
    <row r="92" spans="1:10">
      <c r="A92" s="56"/>
      <c r="B92" s="125" t="s">
        <v>10</v>
      </c>
      <c r="C92" s="953">
        <f>$C$85</f>
        <v>-3369</v>
      </c>
      <c r="D92" s="953">
        <f>$C$85</f>
        <v>-3369</v>
      </c>
      <c r="E92" s="56"/>
      <c r="F92" s="56"/>
      <c r="G92" s="56"/>
      <c r="H92" s="56"/>
      <c r="I92" s="56"/>
      <c r="J92" s="56"/>
    </row>
    <row r="93" spans="1:10">
      <c r="A93" s="56"/>
      <c r="B93" s="125" t="s">
        <v>307</v>
      </c>
      <c r="C93" s="278">
        <f>C91-C92</f>
        <v>58582.605113671438</v>
      </c>
      <c r="D93" s="278">
        <f>D91-D92</f>
        <v>56848.883569257865</v>
      </c>
      <c r="E93" s="56"/>
      <c r="F93" s="56"/>
      <c r="G93" s="56"/>
      <c r="H93" s="56"/>
      <c r="I93" s="56"/>
      <c r="J93" s="56"/>
    </row>
    <row r="94" spans="1:10">
      <c r="A94" s="56"/>
      <c r="B94" s="125" t="s">
        <v>308</v>
      </c>
      <c r="C94" s="278">
        <f>$C$87</f>
        <v>952.42099999999994</v>
      </c>
      <c r="D94" s="278">
        <f>$C$87</f>
        <v>952.42099999999994</v>
      </c>
      <c r="E94" s="56"/>
      <c r="F94" s="56"/>
      <c r="G94" s="56"/>
      <c r="H94" s="56"/>
      <c r="I94" s="56"/>
      <c r="J94" s="56"/>
    </row>
    <row r="95" spans="1:10">
      <c r="A95" s="56"/>
      <c r="B95" s="548" t="s">
        <v>24</v>
      </c>
      <c r="C95" s="954">
        <f>C93/C94</f>
        <v>61.509148909643365</v>
      </c>
      <c r="D95" s="954">
        <f>D93/D94</f>
        <v>59.688817832930887</v>
      </c>
      <c r="E95" s="56"/>
      <c r="F95" s="56"/>
      <c r="G95" s="56"/>
      <c r="H95" s="56"/>
      <c r="I95" s="56"/>
      <c r="J95" s="56"/>
    </row>
    <row r="96" spans="1:10">
      <c r="A96" s="56"/>
      <c r="B96" s="56"/>
      <c r="C96" s="56"/>
      <c r="D96" s="56"/>
      <c r="E96" s="56"/>
      <c r="F96" s="56"/>
      <c r="G96" s="56"/>
      <c r="H96" s="56"/>
      <c r="I96" s="56"/>
      <c r="J96" s="56"/>
    </row>
    <row r="97" spans="1:10" ht="15.6">
      <c r="A97" s="56"/>
      <c r="B97" s="127"/>
      <c r="C97" s="549" t="s">
        <v>309</v>
      </c>
      <c r="D97" s="79"/>
      <c r="E97" s="56"/>
      <c r="F97" s="56"/>
      <c r="G97" s="56"/>
      <c r="H97" s="56"/>
      <c r="I97" s="56"/>
      <c r="J97" s="56"/>
    </row>
    <row r="98" spans="1:10">
      <c r="A98" s="56"/>
      <c r="B98" s="540"/>
      <c r="C98" s="550" t="s">
        <v>27</v>
      </c>
      <c r="D98" s="550" t="s">
        <v>7</v>
      </c>
      <c r="E98" s="56"/>
      <c r="F98" s="56"/>
      <c r="G98" s="56"/>
      <c r="H98" s="56"/>
      <c r="I98" s="56"/>
      <c r="J98" s="56"/>
    </row>
    <row r="99" spans="1:10">
      <c r="A99" s="56"/>
      <c r="B99" s="125" t="s">
        <v>310</v>
      </c>
      <c r="C99" s="342">
        <f>C91/$D$16</f>
        <v>1.6644641599442733</v>
      </c>
      <c r="D99" s="342">
        <f>D91/$D$16</f>
        <v>1.6121995529138389</v>
      </c>
      <c r="E99" s="56"/>
      <c r="F99" s="56"/>
      <c r="G99" s="56"/>
      <c r="H99" s="56"/>
      <c r="I99" s="56"/>
      <c r="J99" s="56"/>
    </row>
    <row r="100" spans="1:10">
      <c r="A100" s="56"/>
      <c r="B100" s="125" t="s">
        <v>311</v>
      </c>
      <c r="C100" s="342">
        <f>C91/$D$18</f>
        <v>7.8562329416151728</v>
      </c>
      <c r="D100" s="342">
        <f>D91/$D$18</f>
        <v>7.6095451862916708</v>
      </c>
      <c r="E100" s="56"/>
      <c r="F100" s="56"/>
      <c r="G100" s="56"/>
      <c r="H100" s="56"/>
      <c r="I100" s="56"/>
      <c r="J100" s="56"/>
    </row>
    <row r="101" spans="1:10">
      <c r="A101" s="56"/>
      <c r="B101" s="251" t="s">
        <v>312</v>
      </c>
      <c r="C101" s="632">
        <f>C91/$D$20</f>
        <v>9.1036447013473101</v>
      </c>
      <c r="D101" s="632">
        <f>D91/$D$20</f>
        <v>8.8177878927053364</v>
      </c>
      <c r="E101" s="56"/>
      <c r="F101" s="56"/>
      <c r="G101" s="56"/>
      <c r="H101" s="56"/>
      <c r="I101" s="56"/>
      <c r="J101" s="56"/>
    </row>
    <row r="102" spans="1:10">
      <c r="A102" s="56"/>
      <c r="B102" s="127"/>
      <c r="C102" s="192"/>
      <c r="D102" s="192"/>
      <c r="E102" s="56"/>
      <c r="F102" s="56"/>
      <c r="G102" s="56"/>
      <c r="H102" s="56"/>
      <c r="I102" s="56"/>
      <c r="J102" s="56"/>
    </row>
    <row r="103" spans="1:10" ht="15.6">
      <c r="A103" s="56"/>
      <c r="B103" s="127"/>
      <c r="C103" s="549" t="s">
        <v>313</v>
      </c>
      <c r="D103" s="551"/>
      <c r="E103" s="192"/>
      <c r="F103" s="192"/>
      <c r="G103" s="56"/>
      <c r="H103" s="56"/>
      <c r="I103" s="56"/>
      <c r="J103" s="56"/>
    </row>
    <row r="104" spans="1:10">
      <c r="A104" s="56"/>
      <c r="B104" s="540"/>
      <c r="C104" s="550" t="s">
        <v>27</v>
      </c>
      <c r="D104" s="550" t="s">
        <v>7</v>
      </c>
      <c r="E104" s="192"/>
      <c r="F104" s="192"/>
      <c r="G104" s="56"/>
      <c r="H104" s="56"/>
      <c r="I104" s="56"/>
      <c r="J104" s="56"/>
    </row>
    <row r="105" spans="1:10">
      <c r="A105" s="56"/>
      <c r="B105" s="125" t="s">
        <v>310</v>
      </c>
      <c r="C105" s="342">
        <f>C91/$E$16</f>
        <v>1.608990272989216</v>
      </c>
      <c r="D105" s="342">
        <f>D91/$E$16</f>
        <v>1.5584675604206328</v>
      </c>
      <c r="E105" s="192"/>
      <c r="F105" s="192"/>
      <c r="G105" s="56"/>
      <c r="H105" s="56"/>
      <c r="I105" s="56"/>
      <c r="J105" s="56"/>
    </row>
    <row r="106" spans="1:10">
      <c r="A106" s="56"/>
      <c r="B106" s="125" t="s">
        <v>311</v>
      </c>
      <c r="C106" s="342">
        <f>C91/$E$18</f>
        <v>7.7256023663952877</v>
      </c>
      <c r="D106" s="342">
        <f>D91/$E$18</f>
        <v>7.4830164450699748</v>
      </c>
      <c r="E106" s="192"/>
      <c r="F106" s="192"/>
      <c r="G106" s="56"/>
      <c r="H106" s="56"/>
      <c r="I106" s="56"/>
      <c r="J106" s="56"/>
    </row>
    <row r="107" spans="1:10">
      <c r="A107" s="56"/>
      <c r="B107" s="251" t="s">
        <v>312</v>
      </c>
      <c r="C107" s="632">
        <f>C91/$E$20</f>
        <v>8.7993037688995273</v>
      </c>
      <c r="D107" s="632">
        <f>D91/$E$20</f>
        <v>8.5230033446006033</v>
      </c>
      <c r="E107" s="192"/>
      <c r="F107" s="192"/>
      <c r="G107" s="56"/>
      <c r="H107" s="56"/>
      <c r="I107" s="56"/>
      <c r="J107" s="56"/>
    </row>
    <row r="108" spans="1:10">
      <c r="A108" s="56"/>
      <c r="B108" s="56"/>
      <c r="C108" s="56"/>
      <c r="D108" s="56"/>
      <c r="E108" s="56"/>
      <c r="F108" s="56"/>
      <c r="G108" s="56"/>
      <c r="H108" s="56"/>
      <c r="I108" s="56"/>
      <c r="J108" s="56"/>
    </row>
    <row r="109" spans="1:10" s="1" customFormat="1" ht="14.4">
      <c r="A109" s="55"/>
      <c r="B109" s="645" t="s">
        <v>369</v>
      </c>
      <c r="C109" s="95"/>
      <c r="D109" s="95"/>
      <c r="E109" s="95"/>
      <c r="F109" s="95"/>
      <c r="G109" s="95"/>
      <c r="H109" s="95"/>
      <c r="I109" s="95"/>
      <c r="J109" s="56"/>
    </row>
    <row r="110" spans="1:10" s="1" customFormat="1" ht="14.4">
      <c r="A110" s="55"/>
      <c r="B110" s="56"/>
      <c r="C110" s="56"/>
      <c r="D110" s="56"/>
      <c r="E110" s="56"/>
      <c r="F110" s="56"/>
      <c r="G110" s="56"/>
      <c r="H110" s="56"/>
      <c r="I110" s="56"/>
      <c r="J110" s="56"/>
    </row>
    <row r="111" spans="1:10" s="1" customFormat="1" ht="14.4">
      <c r="A111" s="55"/>
      <c r="B111" s="56"/>
      <c r="C111" s="56"/>
      <c r="D111" s="646" t="s">
        <v>421</v>
      </c>
      <c r="E111" s="647"/>
      <c r="F111" s="647"/>
      <c r="G111" s="647"/>
      <c r="H111" s="647"/>
      <c r="J111" s="56"/>
    </row>
    <row r="112" spans="1:10" s="1" customFormat="1" ht="14.4">
      <c r="A112" s="55"/>
      <c r="B112" s="56"/>
      <c r="C112" s="648"/>
      <c r="D112" s="649" t="s">
        <v>423</v>
      </c>
      <c r="E112" s="648"/>
      <c r="F112" s="648"/>
      <c r="G112" s="648"/>
      <c r="H112" s="648"/>
      <c r="J112" s="56"/>
    </row>
    <row r="113" spans="1:10" s="1" customFormat="1" ht="14.4">
      <c r="A113" s="55"/>
      <c r="B113" s="56"/>
      <c r="C113" s="257">
        <f>C95</f>
        <v>61.509148909643365</v>
      </c>
      <c r="D113" s="650">
        <f>E113-0.005</f>
        <v>-5.0000000000000001E-3</v>
      </c>
      <c r="E113" s="650">
        <f>F113-0.005</f>
        <v>0</v>
      </c>
      <c r="F113" s="651">
        <v>5.0000000000000001E-3</v>
      </c>
      <c r="G113" s="650">
        <f>F113+0.005</f>
        <v>0.01</v>
      </c>
      <c r="H113" s="650">
        <f>G113+0.005</f>
        <v>1.4999999999999999E-2</v>
      </c>
      <c r="J113" s="56"/>
    </row>
    <row r="114" spans="1:10" s="1" customFormat="1" ht="14.4">
      <c r="A114" s="55"/>
      <c r="B114" s="56"/>
      <c r="C114" s="652">
        <f>C115+0.005</f>
        <v>0.10200000000000001</v>
      </c>
      <c r="D114" s="653">
        <f t="dataTable" ref="D114:H118" dt2D="1" dtr="1" r1="C62" r2="E53"/>
        <v>53.999537924670832</v>
      </c>
      <c r="E114" s="653">
        <v>55.792993222271733</v>
      </c>
      <c r="F114" s="653">
        <v>57.771340818594375</v>
      </c>
      <c r="G114" s="653">
        <v>59.964726197126012</v>
      </c>
      <c r="H114" s="653">
        <v>62.41022483755782</v>
      </c>
      <c r="J114" s="56"/>
    </row>
    <row r="115" spans="1:10" s="1" customFormat="1" ht="14.4">
      <c r="A115" s="55"/>
      <c r="B115" s="56"/>
      <c r="C115" s="652">
        <f>C116+0.005</f>
        <v>9.7000000000000003E-2</v>
      </c>
      <c r="D115" s="653">
        <v>56.549342197395454</v>
      </c>
      <c r="E115" s="653">
        <v>58.559467360784382</v>
      </c>
      <c r="F115" s="653">
        <v>60.788084389759064</v>
      </c>
      <c r="G115" s="653">
        <v>63.272864295627386</v>
      </c>
      <c r="H115" s="653">
        <v>66.060666141235757</v>
      </c>
      <c r="J115" s="56"/>
    </row>
    <row r="116" spans="1:10" s="1" customFormat="1" ht="14.4">
      <c r="A116" s="55"/>
      <c r="B116" s="458" t="s">
        <v>424</v>
      </c>
      <c r="C116" s="654">
        <v>9.1999999999999998E-2</v>
      </c>
      <c r="D116" s="653">
        <v>59.363394587358336</v>
      </c>
      <c r="E116" s="653">
        <v>61.627974028418031</v>
      </c>
      <c r="F116" s="653">
        <v>64.152849956955862</v>
      </c>
      <c r="G116" s="653">
        <v>66.985637584095869</v>
      </c>
      <c r="H116" s="653">
        <v>70.186319708267035</v>
      </c>
      <c r="J116" s="56"/>
    </row>
    <row r="117" spans="1:10" s="1" customFormat="1" ht="14.4">
      <c r="A117" s="55"/>
      <c r="B117" s="103"/>
      <c r="C117" s="652">
        <f>C116-0.005</f>
        <v>8.6999999999999994E-2</v>
      </c>
      <c r="D117" s="653">
        <v>62.484809026414226</v>
      </c>
      <c r="E117" s="653">
        <v>65.050616481683562</v>
      </c>
      <c r="F117" s="653">
        <v>67.929327285156475</v>
      </c>
      <c r="G117" s="653">
        <v>71.181896634534979</v>
      </c>
      <c r="H117" s="653">
        <v>74.886211726882706</v>
      </c>
      <c r="J117" s="56"/>
    </row>
    <row r="118" spans="1:10" s="1" customFormat="1" ht="14.4">
      <c r="A118" s="55"/>
      <c r="B118" s="103"/>
      <c r="C118" s="652">
        <v>0.11600000000000001</v>
      </c>
      <c r="D118" s="653">
        <v>47.98686261949981</v>
      </c>
      <c r="E118" s="653">
        <v>49.321058251838217</v>
      </c>
      <c r="F118" s="653">
        <v>50.775451688891785</v>
      </c>
      <c r="G118" s="653">
        <v>52.367052053969289</v>
      </c>
      <c r="H118" s="653">
        <v>54.116236613608905</v>
      </c>
      <c r="J118" s="56"/>
    </row>
    <row r="119" spans="1:10" s="1" customFormat="1" ht="14.4">
      <c r="A119" s="55"/>
      <c r="B119" s="103"/>
      <c r="C119" s="655"/>
      <c r="D119" s="656"/>
      <c r="E119" s="656"/>
      <c r="F119" s="656"/>
      <c r="G119" s="656"/>
      <c r="H119" s="656"/>
      <c r="J119" s="56"/>
    </row>
    <row r="120" spans="1:10" s="1" customFormat="1" ht="14.4">
      <c r="A120" s="55"/>
      <c r="B120" s="103"/>
      <c r="C120" s="56"/>
      <c r="D120" s="646" t="s">
        <v>421</v>
      </c>
      <c r="E120" s="647"/>
      <c r="F120" s="647"/>
      <c r="G120" s="647"/>
      <c r="H120" s="647"/>
      <c r="J120" s="56"/>
    </row>
    <row r="121" spans="1:10" s="1" customFormat="1" ht="14.4">
      <c r="A121" s="55"/>
      <c r="B121" s="103"/>
      <c r="C121" s="648"/>
      <c r="D121" s="649" t="s">
        <v>425</v>
      </c>
      <c r="E121" s="648"/>
      <c r="F121" s="648"/>
      <c r="G121" s="648"/>
      <c r="H121" s="648"/>
      <c r="J121" s="56"/>
    </row>
    <row r="122" spans="1:10" s="1" customFormat="1" ht="14.4">
      <c r="A122" s="55"/>
      <c r="B122" s="103"/>
      <c r="C122" s="257">
        <f>D95</f>
        <v>59.688817832930887</v>
      </c>
      <c r="D122" s="631">
        <f>E122-0.5</f>
        <v>6</v>
      </c>
      <c r="E122" s="631">
        <f>F122-0.5</f>
        <v>6.5</v>
      </c>
      <c r="F122" s="630">
        <v>7</v>
      </c>
      <c r="G122" s="631">
        <f>F122+0.5</f>
        <v>7.5</v>
      </c>
      <c r="H122" s="631">
        <f>G122+0.5</f>
        <v>8</v>
      </c>
      <c r="J122" s="56"/>
    </row>
    <row r="123" spans="1:10" s="1" customFormat="1" ht="14.4">
      <c r="A123" s="55"/>
      <c r="B123" s="103"/>
      <c r="C123" s="652">
        <f>C124+0.005</f>
        <v>0.10200000000000001</v>
      </c>
      <c r="D123" s="653">
        <f t="dataTable" ref="D123:H127" dt2D="1" dtr="1" r1="I63" r2="E53" ca="1"/>
        <v>53.116001996831748</v>
      </c>
      <c r="E123" s="653">
        <v>55.795213962819687</v>
      </c>
      <c r="F123" s="653">
        <v>58.474425928807626</v>
      </c>
      <c r="G123" s="653">
        <v>61.153637894795558</v>
      </c>
      <c r="H123" s="653">
        <v>63.832849860783497</v>
      </c>
      <c r="J123" s="56"/>
    </row>
    <row r="124" spans="1:10" s="1" customFormat="1" ht="14.4">
      <c r="A124" s="55"/>
      <c r="B124" s="103"/>
      <c r="C124" s="652">
        <f>C125+0.005</f>
        <v>9.7000000000000003E-2</v>
      </c>
      <c r="D124" s="653">
        <v>53.994695149378522</v>
      </c>
      <c r="E124" s="653">
        <v>56.729350133974549</v>
      </c>
      <c r="F124" s="653">
        <v>59.464005118570562</v>
      </c>
      <c r="G124" s="653">
        <v>62.198660103166574</v>
      </c>
      <c r="H124" s="653">
        <v>64.933315087762594</v>
      </c>
      <c r="J124" s="56"/>
    </row>
    <row r="125" spans="1:10" s="1" customFormat="1" ht="14.4">
      <c r="A125" s="55"/>
      <c r="B125" s="458" t="s">
        <v>424</v>
      </c>
      <c r="C125" s="654">
        <v>9.1999999999999998E-2</v>
      </c>
      <c r="D125" s="653">
        <v>54.894512747080306</v>
      </c>
      <c r="E125" s="653">
        <v>57.686019267023639</v>
      </c>
      <c r="F125" s="653">
        <v>60.477525786966979</v>
      </c>
      <c r="G125" s="653">
        <v>63.269032306910312</v>
      </c>
      <c r="H125" s="653">
        <v>66.060538826853659</v>
      </c>
      <c r="J125" s="56"/>
    </row>
    <row r="126" spans="1:10" s="1" customFormat="1" ht="14.4">
      <c r="A126" s="55"/>
      <c r="B126" s="103"/>
      <c r="C126" s="652">
        <f>C125-0.005</f>
        <v>8.6999999999999994E-2</v>
      </c>
      <c r="D126" s="653">
        <v>55.816073793143481</v>
      </c>
      <c r="E126" s="653">
        <v>58.665882845160723</v>
      </c>
      <c r="F126" s="653">
        <v>61.515691897177966</v>
      </c>
      <c r="G126" s="653">
        <v>64.365500949195209</v>
      </c>
      <c r="H126" s="653">
        <v>67.215310001212444</v>
      </c>
      <c r="J126" s="56"/>
    </row>
    <row r="127" spans="1:10" s="1" customFormat="1" ht="14.4">
      <c r="A127" s="55"/>
      <c r="B127" s="103"/>
      <c r="C127" s="652">
        <v>0.11600000000000001</v>
      </c>
      <c r="D127" s="653">
        <v>50.763023392038271</v>
      </c>
      <c r="E127" s="653">
        <v>53.294144016220805</v>
      </c>
      <c r="F127" s="653">
        <v>55.825264640403354</v>
      </c>
      <c r="G127" s="653">
        <v>58.356385264585882</v>
      </c>
      <c r="H127" s="653">
        <v>60.88750588876843</v>
      </c>
      <c r="J127" s="56"/>
    </row>
    <row r="128" spans="1:10">
      <c r="B128" s="103"/>
      <c r="C128" s="56"/>
      <c r="D128" s="56"/>
      <c r="E128" s="56"/>
      <c r="F128" s="56"/>
      <c r="G128" s="56"/>
      <c r="H128" s="56"/>
      <c r="J128" s="56"/>
    </row>
    <row r="129" spans="2:10">
      <c r="B129" s="103"/>
      <c r="C129" s="56"/>
      <c r="D129" s="646" t="s">
        <v>422</v>
      </c>
      <c r="E129" s="647"/>
      <c r="F129" s="647"/>
      <c r="G129" s="647"/>
      <c r="H129" s="647"/>
      <c r="J129" s="56"/>
    </row>
    <row r="130" spans="2:10">
      <c r="B130" s="103"/>
      <c r="C130" s="56"/>
      <c r="D130" s="649" t="s">
        <v>423</v>
      </c>
      <c r="E130" s="648"/>
      <c r="F130" s="648"/>
      <c r="G130" s="648"/>
      <c r="H130" s="648"/>
      <c r="J130" s="56"/>
    </row>
    <row r="131" spans="2:10">
      <c r="B131" s="103"/>
      <c r="C131" s="274">
        <f>C106</f>
        <v>7.7256023663952877</v>
      </c>
      <c r="D131" s="657">
        <f>E131-0.005</f>
        <v>-5.0000000000000001E-3</v>
      </c>
      <c r="E131" s="657">
        <f>F131-0.005</f>
        <v>0</v>
      </c>
      <c r="F131" s="658">
        <v>5.0000000000000001E-3</v>
      </c>
      <c r="G131" s="657">
        <f>F131+0.005</f>
        <v>0.01</v>
      </c>
      <c r="H131" s="657">
        <f>G131+0.005</f>
        <v>1.4999999999999999E-2</v>
      </c>
      <c r="J131" s="56"/>
    </row>
    <row r="132" spans="2:10">
      <c r="B132" s="103"/>
      <c r="C132" s="652">
        <f>C133+0.005</f>
        <v>0.10200000000000001</v>
      </c>
      <c r="D132" s="342">
        <f t="dataTable" ref="D132:H136" dt2D="1" dtr="1" r1="C62" r2="E53" ca="1"/>
        <v>6.7248361195901767</v>
      </c>
      <c r="E132" s="342">
        <v>6.9638404475885816</v>
      </c>
      <c r="F132" s="342">
        <v>7.2274843970301204</v>
      </c>
      <c r="G132" s="342">
        <v>7.5197852974979149</v>
      </c>
      <c r="H132" s="342">
        <v>7.8456840026171779</v>
      </c>
      <c r="J132" s="56"/>
    </row>
    <row r="133" spans="2:10">
      <c r="B133" s="103"/>
      <c r="C133" s="652">
        <f>C134+0.005</f>
        <v>9.7000000000000003E-2</v>
      </c>
      <c r="D133" s="342">
        <v>7.0646350861689484</v>
      </c>
      <c r="E133" s="342">
        <v>7.3325138643638228</v>
      </c>
      <c r="F133" s="342">
        <v>7.6295099010581389</v>
      </c>
      <c r="G133" s="342">
        <v>7.9606434132345631</v>
      </c>
      <c r="H133" s="342">
        <v>8.3321590610422565</v>
      </c>
      <c r="J133" s="56"/>
    </row>
    <row r="134" spans="2:10">
      <c r="B134" s="458" t="s">
        <v>424</v>
      </c>
      <c r="C134" s="654">
        <v>9.1999999999999998E-2</v>
      </c>
      <c r="D134" s="342">
        <v>7.4396490055652542</v>
      </c>
      <c r="E134" s="342">
        <v>7.7414375632357437</v>
      </c>
      <c r="F134" s="342">
        <v>8.0779144608683602</v>
      </c>
      <c r="G134" s="342">
        <v>8.4554251265049558</v>
      </c>
      <c r="H134" s="342">
        <v>8.8819631513151318</v>
      </c>
      <c r="J134" s="56"/>
    </row>
    <row r="135" spans="2:10">
      <c r="B135" s="103"/>
      <c r="C135" s="652">
        <f>C134-0.005</f>
        <v>8.6999999999999994E-2</v>
      </c>
      <c r="D135" s="342">
        <v>7.855623444074558</v>
      </c>
      <c r="E135" s="342">
        <v>8.1975550703828759</v>
      </c>
      <c r="F135" s="342">
        <v>8.5811856755092801</v>
      </c>
      <c r="G135" s="342">
        <v>9.0146384371456119</v>
      </c>
      <c r="H135" s="342">
        <v>9.5082929712314304</v>
      </c>
      <c r="J135" s="56"/>
    </row>
    <row r="136" spans="2:10">
      <c r="B136" s="103"/>
      <c r="C136" s="652">
        <v>0.11600000000000001</v>
      </c>
      <c r="D136" s="342">
        <v>5.9235585953009755</v>
      </c>
      <c r="E136" s="342">
        <v>6.1013598100577688</v>
      </c>
      <c r="F136" s="342">
        <v>6.295179152270129</v>
      </c>
      <c r="G136" s="342">
        <v>6.5072833380874293</v>
      </c>
      <c r="H136" s="342">
        <v>6.7403879383420842</v>
      </c>
      <c r="J136" s="56"/>
    </row>
    <row r="137" spans="2:10">
      <c r="B137" s="103"/>
      <c r="C137" s="655"/>
      <c r="D137" s="192"/>
      <c r="E137" s="192"/>
      <c r="F137" s="192"/>
      <c r="G137" s="192"/>
      <c r="H137" s="192"/>
      <c r="J137" s="56"/>
    </row>
    <row r="138" spans="2:10">
      <c r="B138" s="103"/>
      <c r="C138" s="56"/>
      <c r="D138" s="646" t="s">
        <v>422</v>
      </c>
      <c r="E138" s="647"/>
      <c r="F138" s="647"/>
      <c r="G138" s="647"/>
      <c r="H138" s="647"/>
      <c r="J138" s="56"/>
    </row>
    <row r="139" spans="2:10">
      <c r="B139" s="103"/>
      <c r="C139" s="56"/>
      <c r="D139" s="649" t="s">
        <v>425</v>
      </c>
      <c r="E139" s="648"/>
      <c r="F139" s="648"/>
      <c r="G139" s="648"/>
      <c r="H139" s="648"/>
      <c r="J139" s="56"/>
    </row>
    <row r="140" spans="2:10">
      <c r="B140" s="103"/>
      <c r="C140" s="274">
        <f>D106</f>
        <v>7.4830164450699748</v>
      </c>
      <c r="D140" s="631">
        <f>E140-0.5</f>
        <v>6</v>
      </c>
      <c r="E140" s="631">
        <f>F140-0.5</f>
        <v>6.5</v>
      </c>
      <c r="F140" s="630">
        <v>7</v>
      </c>
      <c r="G140" s="631">
        <f>F140+0.5</f>
        <v>7.5</v>
      </c>
      <c r="H140" s="631">
        <f>G140+0.5</f>
        <v>8</v>
      </c>
      <c r="J140" s="56"/>
    </row>
    <row r="141" spans="2:10">
      <c r="B141" s="103"/>
      <c r="C141" s="652">
        <f>C142+0.005</f>
        <v>0.10200000000000001</v>
      </c>
      <c r="D141" s="342">
        <f t="dataTable" ref="D141:H145" dt2D="1" dtr="1" r1="I63" r2="E53" ca="1"/>
        <v>6.6070919466642568</v>
      </c>
      <c r="E141" s="342">
        <v>6.9641363939681939</v>
      </c>
      <c r="F141" s="342">
        <v>7.3211808412721311</v>
      </c>
      <c r="G141" s="342">
        <v>7.6782252885760673</v>
      </c>
      <c r="H141" s="342">
        <v>8.0352697358800054</v>
      </c>
      <c r="J141" s="56"/>
    </row>
    <row r="142" spans="2:10">
      <c r="B142" s="103"/>
      <c r="C142" s="652">
        <f>C143+0.005</f>
        <v>9.7000000000000003E-2</v>
      </c>
      <c r="D142" s="342">
        <v>6.7241907484700079</v>
      </c>
      <c r="E142" s="342">
        <v>7.088623794431717</v>
      </c>
      <c r="F142" s="342">
        <v>7.4530568403934252</v>
      </c>
      <c r="G142" s="342">
        <v>7.8174898863551334</v>
      </c>
      <c r="H142" s="342">
        <v>8.1819229323168408</v>
      </c>
      <c r="J142" s="56"/>
    </row>
    <row r="143" spans="2:10">
      <c r="B143" s="458" t="s">
        <v>424</v>
      </c>
      <c r="C143" s="654">
        <v>9.1999999999999998E-2</v>
      </c>
      <c r="D143" s="342">
        <v>6.8441046936614702</v>
      </c>
      <c r="E143" s="342">
        <v>7.216114043877619</v>
      </c>
      <c r="F143" s="342">
        <v>7.5881233940937696</v>
      </c>
      <c r="G143" s="342">
        <v>7.9601327443099184</v>
      </c>
      <c r="H143" s="342">
        <v>8.3321420945260698</v>
      </c>
      <c r="J143" s="56"/>
    </row>
    <row r="144" spans="2:10">
      <c r="B144" s="103"/>
      <c r="C144" s="652">
        <f>C143-0.005</f>
        <v>8.6999999999999994E-2</v>
      </c>
      <c r="D144" s="342">
        <v>6.9669162735310515</v>
      </c>
      <c r="E144" s="342">
        <v>7.3466952946821662</v>
      </c>
      <c r="F144" s="342">
        <v>7.7264743158332809</v>
      </c>
      <c r="G144" s="342">
        <v>8.1062533369843965</v>
      </c>
      <c r="H144" s="342">
        <v>8.4860323581355104</v>
      </c>
      <c r="J144" s="56"/>
    </row>
    <row r="145" spans="2:10">
      <c r="B145" s="56"/>
      <c r="C145" s="652">
        <v>0.11600000000000001</v>
      </c>
      <c r="D145" s="342">
        <v>6.2935228987010472</v>
      </c>
      <c r="E145" s="342">
        <v>6.6308319939848195</v>
      </c>
      <c r="F145" s="342">
        <v>6.9681410892685944</v>
      </c>
      <c r="G145" s="342">
        <v>7.3054501845523667</v>
      </c>
      <c r="H145" s="342">
        <v>7.6427592798361417</v>
      </c>
      <c r="J145" s="56"/>
    </row>
    <row r="146" spans="2:10">
      <c r="B146" s="56"/>
      <c r="C146" s="745"/>
      <c r="D146" s="342"/>
      <c r="E146" s="342"/>
      <c r="F146" s="342"/>
      <c r="G146" s="342"/>
      <c r="H146" s="342"/>
      <c r="J146" s="56"/>
    </row>
    <row r="147" spans="2:10">
      <c r="B147" s="56"/>
      <c r="C147" s="56"/>
      <c r="D147" s="56"/>
      <c r="E147" s="56"/>
      <c r="F147" s="56"/>
      <c r="G147" s="56"/>
      <c r="H147" s="56"/>
      <c r="I147" s="56"/>
      <c r="J147" s="56"/>
    </row>
    <row r="148" spans="2:10">
      <c r="B148" s="56"/>
      <c r="C148" s="56"/>
      <c r="D148" s="56"/>
      <c r="E148" s="56"/>
      <c r="F148" s="56"/>
      <c r="G148" s="56"/>
      <c r="H148" s="56"/>
      <c r="I148" s="56"/>
      <c r="J148" s="56"/>
    </row>
    <row r="149" spans="2:10">
      <c r="B149" s="56"/>
      <c r="C149" s="56"/>
      <c r="D149" s="56"/>
      <c r="E149" s="56"/>
      <c r="F149" s="56"/>
      <c r="G149" s="56"/>
      <c r="H149" s="56"/>
      <c r="I149" s="56"/>
      <c r="J149" s="56"/>
    </row>
    <row r="150" spans="2:10">
      <c r="B150" s="56"/>
      <c r="C150" s="56"/>
      <c r="D150" s="56"/>
      <c r="E150" s="56"/>
      <c r="F150" s="56"/>
      <c r="G150" s="56"/>
      <c r="H150" s="56"/>
      <c r="I150" s="56"/>
      <c r="J150" s="56"/>
    </row>
    <row r="151" spans="2:10">
      <c r="B151" s="56"/>
      <c r="C151" s="56"/>
      <c r="D151" s="56"/>
      <c r="E151" s="56"/>
      <c r="F151" s="56"/>
      <c r="G151" s="56"/>
      <c r="H151" s="56"/>
      <c r="I151" s="56"/>
      <c r="J151" s="56"/>
    </row>
    <row r="152" spans="2:10">
      <c r="B152" s="56"/>
      <c r="C152" s="56"/>
      <c r="D152" s="56"/>
      <c r="E152" s="56"/>
      <c r="F152" s="56"/>
      <c r="G152" s="56"/>
      <c r="H152" s="56"/>
      <c r="I152" s="56"/>
      <c r="J152" s="56"/>
    </row>
    <row r="153" spans="2:10">
      <c r="B153" s="56"/>
      <c r="C153" s="56"/>
      <c r="D153" s="56"/>
      <c r="E153" s="56"/>
      <c r="F153" s="56"/>
      <c r="G153" s="56"/>
      <c r="H153" s="56"/>
      <c r="I153" s="56"/>
      <c r="J153" s="56"/>
    </row>
    <row r="154" spans="2:10">
      <c r="B154" s="56"/>
      <c r="C154" s="56"/>
      <c r="D154" s="56"/>
      <c r="E154" s="56"/>
      <c r="F154" s="56"/>
      <c r="G154" s="56"/>
      <c r="H154" s="56"/>
      <c r="I154" s="56"/>
      <c r="J154" s="56"/>
    </row>
    <row r="155" spans="2:10">
      <c r="B155" s="56"/>
      <c r="C155" s="56"/>
      <c r="D155" s="56"/>
      <c r="E155" s="56"/>
      <c r="F155" s="56"/>
      <c r="G155" s="56"/>
      <c r="H155" s="56"/>
      <c r="I155" s="56"/>
      <c r="J155" s="56"/>
    </row>
    <row r="156" spans="2:10">
      <c r="B156" s="56"/>
      <c r="C156" s="56"/>
      <c r="D156" s="56"/>
      <c r="E156" s="56"/>
      <c r="F156" s="56"/>
      <c r="G156" s="56"/>
      <c r="H156" s="56"/>
      <c r="I156" s="56"/>
      <c r="J156" s="56"/>
    </row>
    <row r="157" spans="2:10">
      <c r="B157" s="56"/>
      <c r="C157" s="56"/>
      <c r="D157" s="56"/>
      <c r="E157" s="56"/>
      <c r="F157" s="56"/>
      <c r="G157" s="56"/>
      <c r="H157" s="56"/>
      <c r="I157" s="56"/>
      <c r="J157" s="56"/>
    </row>
    <row r="158" spans="2:10">
      <c r="B158" s="56"/>
      <c r="C158" s="56"/>
      <c r="D158" s="56"/>
      <c r="E158" s="56"/>
      <c r="F158" s="56"/>
      <c r="G158" s="56"/>
      <c r="H158" s="56"/>
      <c r="I158" s="56"/>
      <c r="J158" s="56"/>
    </row>
    <row r="159" spans="2:10">
      <c r="B159" s="56"/>
      <c r="C159" s="56"/>
      <c r="D159" s="56"/>
      <c r="E159" s="56"/>
      <c r="F159" s="56"/>
      <c r="G159" s="56"/>
      <c r="H159" s="56"/>
      <c r="I159" s="56"/>
      <c r="J159" s="56"/>
    </row>
    <row r="160" spans="2:10">
      <c r="B160" s="56"/>
      <c r="C160" s="56"/>
      <c r="D160" s="56"/>
      <c r="E160" s="56"/>
      <c r="F160" s="56"/>
      <c r="G160" s="56"/>
      <c r="H160" s="56"/>
      <c r="I160" s="56"/>
      <c r="J160" s="56"/>
    </row>
    <row r="161" spans="2:10">
      <c r="B161" s="56"/>
      <c r="C161" s="56"/>
      <c r="D161" s="56"/>
      <c r="E161" s="56"/>
      <c r="F161" s="56"/>
      <c r="G161" s="56"/>
      <c r="H161" s="56"/>
      <c r="I161" s="56"/>
      <c r="J161" s="56"/>
    </row>
    <row r="162" spans="2:10">
      <c r="B162" s="56"/>
      <c r="C162" s="56"/>
      <c r="D162" s="56"/>
      <c r="E162" s="56"/>
      <c r="F162" s="56"/>
      <c r="G162" s="56"/>
      <c r="H162" s="56"/>
      <c r="I162" s="56"/>
      <c r="J162" s="56"/>
    </row>
    <row r="163" spans="2:10">
      <c r="B163" s="56"/>
      <c r="C163" s="56"/>
      <c r="D163" s="56"/>
      <c r="E163" s="56"/>
      <c r="F163" s="56"/>
      <c r="G163" s="56"/>
      <c r="H163" s="56"/>
      <c r="I163" s="56"/>
      <c r="J163" s="56"/>
    </row>
    <row r="164" spans="2:10">
      <c r="B164" s="56"/>
      <c r="C164" s="56"/>
      <c r="D164" s="56"/>
      <c r="E164" s="56"/>
      <c r="F164" s="56"/>
      <c r="G164" s="56"/>
      <c r="H164" s="56"/>
      <c r="I164" s="56"/>
      <c r="J164" s="56"/>
    </row>
    <row r="165" spans="2:10">
      <c r="B165" s="747"/>
      <c r="C165" s="746"/>
      <c r="D165" s="659" t="s">
        <v>426</v>
      </c>
      <c r="E165" s="659" t="s">
        <v>427</v>
      </c>
      <c r="F165" s="660" t="s">
        <v>428</v>
      </c>
      <c r="G165" s="56"/>
      <c r="H165" s="56"/>
      <c r="I165" s="56"/>
      <c r="J165" s="56"/>
    </row>
    <row r="166" spans="2:10">
      <c r="B166" s="661" t="str">
        <f>"DCF Value at "&amp;TEXT(D122,"0.0x")&amp;"-"&amp;TEXT(H122,"0.0x")&amp;" Exit EBITDA Range at "&amp;TEXT(C125,"0.0%")&amp;" WACC"</f>
        <v>DCF Value at 6.0x-8.0x Exit EBITDA Range at 9.2% WACC</v>
      </c>
      <c r="D166" s="257">
        <f>D125</f>
        <v>54.894512747080306</v>
      </c>
      <c r="E166" s="257">
        <f>F166-D166</f>
        <v>11.166026079773353</v>
      </c>
      <c r="F166" s="662">
        <f>H125</f>
        <v>66.060538826853659</v>
      </c>
      <c r="G166" s="56"/>
      <c r="H166" s="56"/>
      <c r="I166" s="56"/>
      <c r="J166" s="56"/>
    </row>
    <row r="167" spans="2:10">
      <c r="B167" s="610" t="str">
        <f>"DCF Value at "&amp;TEXT(D113,"0.0%")&amp;"-"&amp;TEXT(H113,"0.0%")&amp;" Perpetuity Range at "&amp;TEXT(C116,"0.0%")&amp;" WACC"</f>
        <v>DCF Value at -0.5%-1.5% Perpetuity Range at 9.2% WACC</v>
      </c>
      <c r="D167" s="257">
        <f>D123</f>
        <v>53.116001996831748</v>
      </c>
      <c r="E167" s="257">
        <f>F167-D167</f>
        <v>10.716847863951749</v>
      </c>
      <c r="F167" s="662">
        <f>H123</f>
        <v>63.832849860783497</v>
      </c>
      <c r="G167" s="56"/>
      <c r="H167" s="56"/>
      <c r="I167" s="56"/>
      <c r="J167" s="56"/>
    </row>
    <row r="168" spans="2:10">
      <c r="B168" s="485" t="s">
        <v>429</v>
      </c>
      <c r="C168" s="748"/>
      <c r="D168" s="663">
        <v>38.46</v>
      </c>
      <c r="E168" s="664">
        <f>F168-D168</f>
        <v>41.04</v>
      </c>
      <c r="F168" s="665">
        <v>79.5</v>
      </c>
      <c r="G168" s="56"/>
      <c r="H168" s="56"/>
      <c r="I168" s="56"/>
      <c r="J168" s="56"/>
    </row>
    <row r="169" spans="2:10">
      <c r="B169" s="95"/>
      <c r="C169" s="95"/>
      <c r="D169" s="95"/>
      <c r="E169" s="95"/>
      <c r="F169" s="95"/>
      <c r="G169" s="95"/>
      <c r="H169" s="95"/>
      <c r="I169" s="95"/>
      <c r="J169" s="56"/>
    </row>
    <row r="170" spans="2:10">
      <c r="B170" s="56"/>
      <c r="C170" s="56"/>
      <c r="D170" s="56"/>
      <c r="E170" s="56"/>
      <c r="F170" s="56"/>
      <c r="G170" s="56"/>
      <c r="H170" s="56"/>
      <c r="I170" s="56"/>
      <c r="J170" s="56"/>
    </row>
    <row r="171" spans="2:10">
      <c r="B171" s="56"/>
      <c r="C171" s="56"/>
      <c r="D171" s="56"/>
      <c r="E171" s="56"/>
      <c r="F171" s="56"/>
      <c r="G171" s="56"/>
      <c r="H171" s="56"/>
      <c r="I171" s="56"/>
      <c r="J171" s="56"/>
    </row>
    <row r="172" spans="2:10">
      <c r="B172" s="56"/>
      <c r="C172" s="56"/>
      <c r="D172" s="56"/>
      <c r="E172" s="56"/>
      <c r="F172" s="56"/>
      <c r="G172" s="56"/>
      <c r="H172" s="56"/>
      <c r="I172" s="56"/>
      <c r="J172" s="56"/>
    </row>
    <row r="173" spans="2:10">
      <c r="B173" s="56"/>
      <c r="C173" s="56"/>
      <c r="D173" s="56"/>
      <c r="E173" s="56"/>
      <c r="F173" s="56"/>
      <c r="G173" s="56"/>
      <c r="H173" s="56"/>
      <c r="I173" s="56"/>
      <c r="J173" s="56"/>
    </row>
    <row r="174" spans="2:10">
      <c r="B174" s="56"/>
      <c r="C174" s="56"/>
      <c r="D174" s="56"/>
      <c r="E174" s="56"/>
      <c r="F174" s="56"/>
      <c r="G174" s="56"/>
      <c r="H174" s="56"/>
      <c r="I174" s="56"/>
      <c r="J174" s="56"/>
    </row>
    <row r="175" spans="2:10">
      <c r="B175" s="56"/>
      <c r="C175" s="56"/>
      <c r="D175" s="56"/>
      <c r="E175" s="56"/>
      <c r="F175" s="56"/>
      <c r="G175" s="56"/>
      <c r="H175" s="56"/>
      <c r="I175" s="56"/>
      <c r="J175" s="56"/>
    </row>
    <row r="176" spans="2:10">
      <c r="B176" s="56"/>
      <c r="C176" s="56"/>
      <c r="D176" s="56"/>
      <c r="E176" s="56"/>
      <c r="F176" s="56"/>
      <c r="G176" s="56"/>
      <c r="H176" s="56"/>
      <c r="I176" s="56"/>
      <c r="J176" s="56"/>
    </row>
    <row r="177" spans="2:10">
      <c r="B177" s="56"/>
      <c r="C177" s="56"/>
      <c r="D177" s="56"/>
      <c r="E177" s="56"/>
      <c r="F177" s="56"/>
      <c r="G177" s="56"/>
      <c r="H177" s="56"/>
      <c r="I177" s="56"/>
      <c r="J177" s="56"/>
    </row>
    <row r="178" spans="2:10">
      <c r="B178" s="56"/>
      <c r="C178" s="56"/>
      <c r="D178" s="56"/>
      <c r="E178" s="56"/>
      <c r="F178" s="56"/>
      <c r="G178" s="56"/>
      <c r="H178" s="56"/>
      <c r="I178" s="56"/>
      <c r="J178" s="56"/>
    </row>
  </sheetData>
  <dataValidations count="1">
    <dataValidation type="list" allowBlank="1" showInputMessage="1" showErrorMessage="1" sqref="I9" xr:uid="{89E6380C-7125-46EE-A420-A0A8B519B9C0}">
      <formula1>"0,1"</formula1>
    </dataValidation>
  </dataValidations>
  <printOptions horizontalCentered="1"/>
  <pageMargins left="0.7" right="0.7" top="0.75" bottom="0.75" header="0.3" footer="0.3"/>
  <pageSetup scale="95" fitToHeight="0" orientation="landscape" r:id="rId1"/>
  <headerFooter differentOddEven="1">
    <oddFooter>&amp;L&amp;"Arial"&amp;8Tyler Spencer&amp;C&amp;"Arial"&amp;8&amp;INot associated with PayPal. For educational purposes only.&amp;R&amp;"Arial"&amp;8Page &amp;P</oddFooter>
    <evenFooter>&amp;L&amp;"Arial"&amp;8Tyler Spencer&amp;C&amp;"Arial"&amp;8&amp;INot associated with PayPal. For educational purposes only.&amp;R&amp;"Arial"&amp;8Page &amp;P</evenFooter>
  </headerFooter>
  <rowBreaks count="3" manualBreakCount="3">
    <brk id="59" max="16383" man="1"/>
    <brk id="87" max="16383" man="1"/>
    <brk id="146" max="16383" man="1"/>
  </rowBreak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E41F4-A300-4D15-8F10-96535134A751}">
  <sheetPr>
    <pageSetUpPr fitToPage="1"/>
  </sheetPr>
  <dimension ref="A1:P82"/>
  <sheetViews>
    <sheetView topLeftCell="A40" zoomScaleNormal="100" workbookViewId="0">
      <selection activeCell="I9" sqref="I9"/>
    </sheetView>
  </sheetViews>
  <sheetFormatPr defaultColWidth="8.88671875" defaultRowHeight="13.8"/>
  <cols>
    <col min="1" max="1" width="2" style="55" customWidth="1"/>
    <col min="2" max="5" width="8.88671875" style="56"/>
    <col min="6" max="7" width="11" style="56" bestFit="1" customWidth="1"/>
    <col min="8" max="8" width="13.6640625" style="56" bestFit="1" customWidth="1"/>
    <col min="9" max="9" width="10.109375" style="56" customWidth="1"/>
    <col min="10" max="10" width="10.6640625" style="56" customWidth="1"/>
    <col min="11" max="13" width="10.44140625" style="56" bestFit="1" customWidth="1"/>
    <col min="14" max="16384" width="8.88671875" style="56"/>
  </cols>
  <sheetData>
    <row r="1" spans="1:16" ht="14.4">
      <c r="A1" s="56"/>
      <c r="I1" s="218"/>
      <c r="K1"/>
      <c r="M1" s="725" t="str">
        <f>"CURRENTLY RUNNING: "&amp;UPPER(CHOOSE(Scenarios!$C$6,Scenarios!B10,Scenarios!B11,Scenarios!B12))&amp;" SCENARIO"</f>
        <v>CURRENTLY RUNNING: BASE CASE SCENARIO</v>
      </c>
    </row>
    <row r="2" spans="1:16" s="55" customFormat="1" ht="22.8">
      <c r="B2" s="201" t="str">
        <f>Cover!B7</f>
        <v>PayPal</v>
      </c>
      <c r="C2" s="58"/>
      <c r="D2" s="58"/>
      <c r="E2" s="58"/>
      <c r="F2" s="58"/>
      <c r="G2" s="58"/>
      <c r="H2" s="58"/>
      <c r="I2" s="58"/>
      <c r="J2" s="58"/>
      <c r="K2" s="59"/>
      <c r="L2" s="59"/>
      <c r="M2" s="59"/>
    </row>
    <row r="3" spans="1:16" s="55" customFormat="1" ht="18" thickBot="1">
      <c r="B3" s="219" t="s">
        <v>432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</row>
    <row r="4" spans="1:16" ht="13.2">
      <c r="A4" s="56"/>
      <c r="B4" s="220" t="s">
        <v>93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</row>
    <row r="5" spans="1:16" ht="13.2">
      <c r="A5" s="56"/>
    </row>
    <row r="6" spans="1:16" ht="13.2">
      <c r="A6" s="56"/>
      <c r="B6" s="386" t="s">
        <v>358</v>
      </c>
      <c r="C6" s="387"/>
      <c r="D6" s="387"/>
      <c r="E6" s="387"/>
      <c r="F6" s="388"/>
      <c r="H6" s="386" t="s">
        <v>433</v>
      </c>
      <c r="I6" s="387"/>
      <c r="J6" s="387"/>
      <c r="K6" s="387"/>
      <c r="L6" s="387"/>
      <c r="M6" s="388"/>
      <c r="O6" s="389"/>
      <c r="P6" s="389"/>
    </row>
    <row r="7" spans="1:16" ht="5.4" customHeight="1">
      <c r="A7" s="56"/>
      <c r="B7" s="390"/>
      <c r="C7" s="391"/>
      <c r="D7" s="391"/>
      <c r="E7" s="391"/>
      <c r="F7" s="392"/>
      <c r="H7" s="390"/>
      <c r="I7" s="391"/>
      <c r="J7" s="391"/>
      <c r="K7" s="391"/>
      <c r="L7" s="391"/>
      <c r="M7" s="392"/>
      <c r="O7" s="389"/>
      <c r="P7" s="389"/>
    </row>
    <row r="8" spans="1:16" ht="14.4" customHeight="1">
      <c r="A8" s="56"/>
      <c r="B8" s="393" t="str">
        <f>"Amounts in millions as of "&amp;TEXT(Assumptions!N8,"mmmm d, yyyy")</f>
        <v>Amounts in millions as of July 5, 2026</v>
      </c>
      <c r="C8" s="389"/>
      <c r="D8" s="389"/>
      <c r="E8" s="389"/>
      <c r="F8" s="394"/>
      <c r="H8" s="395"/>
      <c r="I8" s="221">
        <f>J8-1</f>
        <v>2024</v>
      </c>
      <c r="J8" s="221">
        <f>'Equity Schedule'!G6</f>
        <v>2025</v>
      </c>
      <c r="K8" s="221" t="s">
        <v>443</v>
      </c>
      <c r="L8" s="256">
        <f>'Equity Schedule'!H6</f>
        <v>2026</v>
      </c>
      <c r="M8" s="626">
        <f>'Equity Schedule'!I6</f>
        <v>2027</v>
      </c>
      <c r="O8" s="396"/>
      <c r="P8" s="396"/>
    </row>
    <row r="9" spans="1:16" ht="14.4" customHeight="1">
      <c r="A9" s="56"/>
      <c r="B9" s="397"/>
      <c r="C9" s="398"/>
      <c r="D9" s="398"/>
      <c r="E9" s="398"/>
      <c r="F9" s="399"/>
      <c r="H9" s="400"/>
      <c r="I9" s="398"/>
      <c r="J9" s="389"/>
      <c r="K9" s="389"/>
      <c r="L9" s="389"/>
      <c r="M9" s="394"/>
      <c r="O9" s="396"/>
      <c r="P9" s="396"/>
    </row>
    <row r="10" spans="1:16" ht="14.4" customHeight="1">
      <c r="A10" s="56"/>
      <c r="B10" s="401" t="s">
        <v>262</v>
      </c>
      <c r="C10" s="389"/>
      <c r="D10" s="389"/>
      <c r="E10" s="402"/>
      <c r="F10" s="403">
        <f>Assumptions!N7</f>
        <v>45.47</v>
      </c>
      <c r="H10" s="404" t="s">
        <v>2</v>
      </c>
      <c r="I10" s="405">
        <f>IS!F8</f>
        <v>31797</v>
      </c>
      <c r="J10" s="406">
        <f>IS!G8</f>
        <v>33172</v>
      </c>
      <c r="K10" s="406">
        <f>Assumptions!J73</f>
        <v>33734</v>
      </c>
      <c r="L10" s="406">
        <f>IS!H8</f>
        <v>34315.686079999999</v>
      </c>
      <c r="M10" s="407">
        <f>IS!I8</f>
        <v>35688.888662399993</v>
      </c>
      <c r="O10" s="396"/>
      <c r="P10" s="396"/>
    </row>
    <row r="11" spans="1:16" ht="14.4" customHeight="1">
      <c r="A11" s="56"/>
      <c r="B11" s="401" t="s">
        <v>434</v>
      </c>
      <c r="C11" s="389"/>
      <c r="D11" s="389"/>
      <c r="E11" s="174"/>
      <c r="F11" s="266">
        <f>Assumptions!N11+Assumptions!N9</f>
        <v>952.42099999999994</v>
      </c>
      <c r="H11" s="404" t="s">
        <v>435</v>
      </c>
      <c r="I11" s="408">
        <f>IS!F28</f>
        <v>6357</v>
      </c>
      <c r="J11" s="409">
        <f>IS!G28</f>
        <v>7028</v>
      </c>
      <c r="K11" s="409">
        <f>Assumptions!J74</f>
        <v>6752</v>
      </c>
      <c r="L11" s="409">
        <f>IS!H28</f>
        <v>7146.8349644603468</v>
      </c>
      <c r="M11" s="410">
        <f>IS!I28</f>
        <v>7104.3206789734631</v>
      </c>
      <c r="O11" s="396"/>
      <c r="P11" s="396"/>
    </row>
    <row r="12" spans="1:16" ht="14.4" customHeight="1">
      <c r="A12" s="56"/>
      <c r="B12" s="401" t="s">
        <v>360</v>
      </c>
      <c r="C12" s="389"/>
      <c r="D12" s="389"/>
      <c r="E12" s="53"/>
      <c r="F12" s="411">
        <f>F10 * F11</f>
        <v>43306.582869999998</v>
      </c>
      <c r="H12" s="404" t="s">
        <v>310</v>
      </c>
      <c r="I12" s="267">
        <f t="shared" ref="I12:K13" si="0">$F$15/I10</f>
        <v>1.3921936934301977</v>
      </c>
      <c r="J12" s="267">
        <f t="shared" si="0"/>
        <v>1.3344864002773422</v>
      </c>
      <c r="K12" s="267">
        <f t="shared" si="0"/>
        <v>1.3122541907274559</v>
      </c>
      <c r="L12" s="267">
        <f t="shared" ref="L12:M12" si="1">$F$15/L10</f>
        <v>1.2900101360875953</v>
      </c>
      <c r="M12" s="268">
        <f t="shared" si="1"/>
        <v>1.2403743722240945</v>
      </c>
      <c r="O12" s="396"/>
      <c r="P12" s="396"/>
    </row>
    <row r="13" spans="1:16" ht="14.4" customHeight="1">
      <c r="A13" s="56"/>
      <c r="B13" s="401" t="s">
        <v>390</v>
      </c>
      <c r="C13" s="389"/>
      <c r="D13" s="389"/>
      <c r="E13" s="51"/>
      <c r="F13" s="412">
        <f>BS!G35+BS!G31</f>
        <v>11383</v>
      </c>
      <c r="H13" s="404" t="s">
        <v>436</v>
      </c>
      <c r="I13" s="267">
        <f t="shared" si="0"/>
        <v>6.9635964873367939</v>
      </c>
      <c r="J13" s="267">
        <f t="shared" si="0"/>
        <v>6.2987454282868525</v>
      </c>
      <c r="K13" s="267">
        <f t="shared" si="0"/>
        <v>6.5562178421208532</v>
      </c>
      <c r="L13" s="267">
        <f t="shared" ref="L13:M13" si="2">$F$15/L11</f>
        <v>6.1940121872315572</v>
      </c>
      <c r="M13" s="268">
        <f t="shared" si="2"/>
        <v>6.2310789265211532</v>
      </c>
      <c r="O13" s="396"/>
      <c r="P13" s="396"/>
    </row>
    <row r="14" spans="1:16" ht="14.4" customHeight="1">
      <c r="A14" s="56"/>
      <c r="B14" s="401" t="s">
        <v>18</v>
      </c>
      <c r="C14" s="389"/>
      <c r="D14" s="389"/>
      <c r="E14" s="51"/>
      <c r="F14" s="412">
        <f>BS!G9</f>
        <v>10422</v>
      </c>
      <c r="H14" s="414" t="str">
        <f>"LTM = FY"&amp;J8</f>
        <v>LTM = FY2025</v>
      </c>
      <c r="I14" s="415"/>
      <c r="J14" s="398"/>
      <c r="K14" s="398"/>
      <c r="L14" s="389"/>
      <c r="M14" s="394"/>
      <c r="N14" s="396"/>
      <c r="O14" s="396"/>
    </row>
    <row r="15" spans="1:16" ht="13.2">
      <c r="A15" s="56"/>
      <c r="B15" s="937" t="s">
        <v>358</v>
      </c>
      <c r="C15" s="416"/>
      <c r="D15" s="416"/>
      <c r="E15" s="417"/>
      <c r="F15" s="418">
        <f>F12+F13-F14</f>
        <v>44267.582869999998</v>
      </c>
      <c r="G15" s="398"/>
      <c r="H15" s="419"/>
      <c r="I15" s="413"/>
      <c r="J15" s="413"/>
      <c r="K15" s="413"/>
      <c r="L15" s="413"/>
      <c r="M15" s="420"/>
      <c r="N15" s="389"/>
    </row>
    <row r="16" spans="1:16" ht="13.2">
      <c r="A16" s="56"/>
      <c r="B16" s="389"/>
      <c r="C16" s="389"/>
      <c r="D16" s="389"/>
      <c r="E16" s="398"/>
      <c r="F16" s="389"/>
      <c r="G16" s="389"/>
      <c r="H16" s="389"/>
      <c r="I16" s="389"/>
      <c r="J16" s="389"/>
      <c r="K16" s="389"/>
      <c r="L16" s="389"/>
      <c r="M16" s="389"/>
      <c r="N16" s="389"/>
    </row>
    <row r="17" spans="1:14" ht="13.2">
      <c r="A17" s="56"/>
      <c r="B17" s="389"/>
      <c r="C17" s="389"/>
      <c r="D17" s="389"/>
      <c r="E17" s="398"/>
      <c r="F17" s="398"/>
      <c r="G17" s="398"/>
      <c r="H17" s="398"/>
      <c r="I17" s="389"/>
      <c r="J17" s="389"/>
      <c r="K17" s="389"/>
      <c r="L17" s="389"/>
      <c r="M17" s="389"/>
      <c r="N17" s="389"/>
    </row>
    <row r="18" spans="1:14" ht="13.2">
      <c r="A18" s="56"/>
      <c r="B18" s="421"/>
      <c r="C18" s="421"/>
      <c r="D18" s="421"/>
      <c r="E18" s="421"/>
      <c r="F18" s="422" t="s">
        <v>437</v>
      </c>
      <c r="G18" s="422" t="s">
        <v>438</v>
      </c>
      <c r="H18" s="423" t="s">
        <v>439</v>
      </c>
      <c r="I18" s="424"/>
      <c r="J18" s="424"/>
      <c r="K18" s="425" t="s">
        <v>440</v>
      </c>
      <c r="L18" s="426"/>
      <c r="M18" s="426"/>
    </row>
    <row r="19" spans="1:14" ht="13.2">
      <c r="A19" s="56"/>
      <c r="B19" s="427" t="s">
        <v>441</v>
      </c>
      <c r="C19" s="421"/>
      <c r="D19" s="421"/>
      <c r="E19" s="421"/>
      <c r="F19" s="682" t="s">
        <v>442</v>
      </c>
      <c r="G19" s="682" t="s">
        <v>442</v>
      </c>
      <c r="H19" s="683">
        <f>I19-1</f>
        <v>2024</v>
      </c>
      <c r="I19" s="683">
        <f>J8</f>
        <v>2025</v>
      </c>
      <c r="J19" s="684" t="s">
        <v>443</v>
      </c>
      <c r="K19" s="683">
        <f>L19-1</f>
        <v>2024</v>
      </c>
      <c r="L19" s="683">
        <f>I19</f>
        <v>2025</v>
      </c>
      <c r="M19" s="684" t="s">
        <v>443</v>
      </c>
    </row>
    <row r="20" spans="1:14" ht="13.2">
      <c r="A20" s="56"/>
      <c r="B20" s="428"/>
      <c r="C20" s="421"/>
      <c r="D20" s="421"/>
      <c r="E20" s="421"/>
      <c r="F20" s="421"/>
      <c r="G20" s="421"/>
      <c r="H20" s="168"/>
      <c r="I20" s="168"/>
      <c r="J20" s="169"/>
      <c r="K20" s="168"/>
      <c r="L20" s="168"/>
      <c r="M20" s="169"/>
    </row>
    <row r="21" spans="1:14" ht="13.2">
      <c r="A21" s="56"/>
      <c r="B21" s="429" t="s">
        <v>448</v>
      </c>
      <c r="C21" s="389"/>
      <c r="D21" s="389"/>
      <c r="E21" s="398"/>
      <c r="F21" s="170">
        <v>32668.7</v>
      </c>
      <c r="G21" s="170">
        <v>34408.6</v>
      </c>
      <c r="H21" s="430">
        <f>$G$21/H22</f>
        <v>1.4264938166169867</v>
      </c>
      <c r="I21" s="430">
        <f t="shared" ref="I21:J21" si="3">$G$21/I22</f>
        <v>1.4222132207971496</v>
      </c>
      <c r="J21" s="430">
        <f t="shared" si="3"/>
        <v>1.4056547120557872</v>
      </c>
      <c r="K21" s="430">
        <f>$G$21/K23</f>
        <v>25.571195005945302</v>
      </c>
      <c r="L21" s="430">
        <f t="shared" ref="L21:M21" si="4">$G$21/L23</f>
        <v>16.61849794735571</v>
      </c>
      <c r="M21" s="430">
        <f t="shared" si="4"/>
        <v>21.835639040487372</v>
      </c>
      <c r="N21" s="389"/>
    </row>
    <row r="22" spans="1:14" ht="13.2">
      <c r="A22" s="56"/>
      <c r="B22" s="324" t="s">
        <v>2</v>
      </c>
      <c r="C22" s="389"/>
      <c r="D22" s="389"/>
      <c r="E22" s="398"/>
      <c r="F22" s="171"/>
      <c r="G22" s="170"/>
      <c r="H22" s="170">
        <v>24121.1</v>
      </c>
      <c r="I22" s="170">
        <v>24193.7</v>
      </c>
      <c r="J22" s="170">
        <v>24478.7</v>
      </c>
      <c r="K22" s="431"/>
      <c r="L22" s="432"/>
      <c r="M22" s="431"/>
      <c r="N22" s="389"/>
    </row>
    <row r="23" spans="1:14" ht="13.2">
      <c r="A23" s="56"/>
      <c r="B23" s="324" t="s">
        <v>7</v>
      </c>
      <c r="C23" s="389"/>
      <c r="D23" s="389"/>
      <c r="E23" s="398"/>
      <c r="F23" s="171"/>
      <c r="G23" s="170"/>
      <c r="H23" s="171"/>
      <c r="I23" s="171"/>
      <c r="J23" s="171"/>
      <c r="K23" s="170">
        <v>1345.6</v>
      </c>
      <c r="L23" s="170">
        <v>2070.5</v>
      </c>
      <c r="M23" s="170">
        <v>1575.8</v>
      </c>
      <c r="N23" s="389"/>
    </row>
    <row r="24" spans="1:14" ht="13.2">
      <c r="A24" s="56"/>
      <c r="B24" s="389"/>
      <c r="C24" s="389"/>
      <c r="D24" s="389"/>
      <c r="E24" s="398"/>
      <c r="F24" s="171"/>
      <c r="G24" s="170"/>
      <c r="H24" s="431"/>
      <c r="I24" s="432"/>
      <c r="J24" s="431"/>
      <c r="K24" s="431"/>
      <c r="L24" s="432"/>
      <c r="M24" s="431"/>
      <c r="N24" s="389"/>
    </row>
    <row r="25" spans="1:14" ht="13.2">
      <c r="A25" s="56"/>
      <c r="B25" s="429" t="s">
        <v>449</v>
      </c>
      <c r="C25" s="389"/>
      <c r="D25" s="389"/>
      <c r="E25" s="398"/>
      <c r="F25" s="170">
        <v>28461.3</v>
      </c>
      <c r="G25" s="170">
        <v>16159.7</v>
      </c>
      <c r="H25" s="430">
        <f>$G$25/H26</f>
        <v>8.0201002531142986</v>
      </c>
      <c r="I25" s="430">
        <f t="shared" ref="I25:J25" si="5">$G$25/I26</f>
        <v>6.8000757448241034</v>
      </c>
      <c r="J25" s="430">
        <f t="shared" si="5"/>
        <v>6.8000757448241034</v>
      </c>
      <c r="K25" s="430">
        <f>$G$25/K27</f>
        <v>16.926469047868441</v>
      </c>
      <c r="L25" s="430">
        <f t="shared" ref="L25:M25" si="6">$G$25/L27</f>
        <v>13.500167084377612</v>
      </c>
      <c r="M25" s="430">
        <f t="shared" si="6"/>
        <v>13.500167084377612</v>
      </c>
      <c r="N25" s="389"/>
    </row>
    <row r="26" spans="1:14" ht="13.2">
      <c r="A26" s="56"/>
      <c r="B26" s="324" t="s">
        <v>2</v>
      </c>
      <c r="C26" s="389"/>
      <c r="D26" s="389"/>
      <c r="E26" s="398"/>
      <c r="F26" s="171"/>
      <c r="G26" s="170"/>
      <c r="H26" s="170">
        <v>2014.9</v>
      </c>
      <c r="I26" s="170">
        <v>2376.4</v>
      </c>
      <c r="J26" s="170">
        <v>2376.4</v>
      </c>
      <c r="K26" s="170"/>
      <c r="L26" s="170"/>
      <c r="M26" s="170"/>
      <c r="N26" s="389"/>
    </row>
    <row r="27" spans="1:14" ht="13.2">
      <c r="A27" s="56"/>
      <c r="B27" s="324" t="s">
        <v>7</v>
      </c>
      <c r="C27" s="389"/>
      <c r="D27" s="389"/>
      <c r="E27" s="398"/>
      <c r="F27" s="171"/>
      <c r="G27" s="170"/>
      <c r="H27" s="431"/>
      <c r="I27" s="432"/>
      <c r="J27" s="431"/>
      <c r="K27" s="170">
        <v>954.7</v>
      </c>
      <c r="L27" s="170">
        <v>1197</v>
      </c>
      <c r="M27" s="170">
        <v>1197</v>
      </c>
      <c r="N27" s="389"/>
    </row>
    <row r="28" spans="1:14" ht="13.2">
      <c r="A28" s="56"/>
      <c r="B28" s="389"/>
      <c r="C28" s="389"/>
      <c r="D28" s="389"/>
      <c r="E28" s="398"/>
      <c r="F28" s="171"/>
      <c r="G28" s="170"/>
      <c r="H28" s="431"/>
      <c r="I28" s="432"/>
      <c r="J28" s="431"/>
      <c r="K28" s="431"/>
      <c r="L28" s="432"/>
      <c r="M28" s="431"/>
      <c r="N28" s="389"/>
    </row>
    <row r="29" spans="1:14" ht="13.2">
      <c r="A29" s="56"/>
      <c r="B29" s="429" t="s">
        <v>450</v>
      </c>
      <c r="C29" s="389"/>
      <c r="D29" s="389"/>
      <c r="E29" s="398"/>
      <c r="F29" s="170">
        <v>33664.1</v>
      </c>
      <c r="G29" s="170">
        <v>61880.1</v>
      </c>
      <c r="H29" s="430">
        <f>$G$29/H30</f>
        <v>3.0250342197888149</v>
      </c>
      <c r="I29" s="430">
        <f t="shared" ref="I29:J29" si="7">$G$29/I30</f>
        <v>2.919836738545746</v>
      </c>
      <c r="J29" s="430">
        <f t="shared" si="7"/>
        <v>2.9340967283072548</v>
      </c>
      <c r="K29" s="430">
        <f>$G$29/K31</f>
        <v>6.8954869623356361</v>
      </c>
      <c r="L29" s="430">
        <f t="shared" ref="L29:M29" si="8">$G$29/L31</f>
        <v>6.984998306806637</v>
      </c>
      <c r="M29" s="430">
        <f t="shared" si="8"/>
        <v>7.3930824372759858</v>
      </c>
      <c r="N29" s="389"/>
    </row>
    <row r="30" spans="1:14" ht="13.2">
      <c r="A30" s="56"/>
      <c r="B30" s="324" t="s">
        <v>2</v>
      </c>
      <c r="C30" s="389"/>
      <c r="D30" s="389"/>
      <c r="E30" s="398"/>
      <c r="F30" s="170"/>
      <c r="G30" s="170"/>
      <c r="H30" s="170">
        <v>20456</v>
      </c>
      <c r="I30" s="170">
        <v>21193</v>
      </c>
      <c r="J30" s="170">
        <v>21090</v>
      </c>
      <c r="K30" s="170"/>
      <c r="L30" s="170"/>
      <c r="M30" s="170"/>
      <c r="N30" s="389"/>
    </row>
    <row r="31" spans="1:14" ht="13.2">
      <c r="A31" s="56"/>
      <c r="B31" s="324" t="s">
        <v>7</v>
      </c>
      <c r="C31" s="389"/>
      <c r="D31" s="389"/>
      <c r="E31" s="398"/>
      <c r="F31" s="170"/>
      <c r="G31" s="170"/>
      <c r="H31" s="170"/>
      <c r="I31" s="432"/>
      <c r="J31" s="170"/>
      <c r="K31" s="170">
        <v>8974</v>
      </c>
      <c r="L31" s="170">
        <v>8859</v>
      </c>
      <c r="M31" s="170">
        <v>8370</v>
      </c>
      <c r="N31" s="389"/>
    </row>
    <row r="32" spans="1:14" ht="13.2">
      <c r="A32" s="56"/>
      <c r="B32" s="389"/>
      <c r="C32" s="389"/>
      <c r="D32" s="389"/>
      <c r="E32" s="398"/>
      <c r="F32" s="170"/>
      <c r="G32" s="170"/>
      <c r="H32" s="431"/>
      <c r="I32" s="432"/>
      <c r="J32" s="431"/>
      <c r="K32" s="431"/>
      <c r="L32" s="432"/>
      <c r="M32" s="431"/>
      <c r="N32" s="389"/>
    </row>
    <row r="33" spans="1:14" ht="13.2">
      <c r="A33" s="56"/>
      <c r="B33" s="429" t="s">
        <v>451</v>
      </c>
      <c r="C33" s="389"/>
      <c r="D33" s="389"/>
      <c r="E33" s="398"/>
      <c r="F33" s="170">
        <v>25898.1</v>
      </c>
      <c r="G33" s="170">
        <v>37111.199999999997</v>
      </c>
      <c r="H33" s="430">
        <f>$G$33/H34</f>
        <v>4.7972078593588412</v>
      </c>
      <c r="I33" s="430">
        <f t="shared" ref="I33:J33" si="9">$G$33/I34</f>
        <v>4.815946223023917</v>
      </c>
      <c r="J33" s="430">
        <f t="shared" si="9"/>
        <v>4.1908934863131257</v>
      </c>
      <c r="K33" s="430">
        <f>$G$33/K35</f>
        <v>10.97120558150535</v>
      </c>
      <c r="L33" s="430">
        <f t="shared" ref="L33:M33" si="10">$G$33/L35</f>
        <v>10.790962751882759</v>
      </c>
      <c r="M33" s="430">
        <f t="shared" si="10"/>
        <v>9.4666598642926374</v>
      </c>
      <c r="N33" s="389"/>
    </row>
    <row r="34" spans="1:14" ht="13.2">
      <c r="A34" s="56"/>
      <c r="B34" s="324" t="s">
        <v>2</v>
      </c>
      <c r="C34" s="389"/>
      <c r="D34" s="389"/>
      <c r="E34" s="398"/>
      <c r="F34" s="170"/>
      <c r="G34" s="170"/>
      <c r="H34" s="170">
        <v>7736</v>
      </c>
      <c r="I34" s="170">
        <v>7705.9</v>
      </c>
      <c r="J34" s="170">
        <v>8855.2000000000007</v>
      </c>
      <c r="K34" s="170"/>
      <c r="L34" s="170"/>
      <c r="M34" s="170"/>
      <c r="N34" s="389"/>
    </row>
    <row r="35" spans="1:14" ht="13.2">
      <c r="A35" s="56"/>
      <c r="B35" s="324" t="s">
        <v>7</v>
      </c>
      <c r="C35" s="389"/>
      <c r="D35" s="389"/>
      <c r="E35" s="398"/>
      <c r="F35" s="170"/>
      <c r="G35" s="170"/>
      <c r="H35" s="170"/>
      <c r="I35" s="432"/>
      <c r="J35" s="170"/>
      <c r="K35" s="170">
        <v>3382.6</v>
      </c>
      <c r="L35" s="170">
        <v>3439.1</v>
      </c>
      <c r="M35" s="170">
        <v>3920.2</v>
      </c>
      <c r="N35" s="389"/>
    </row>
    <row r="36" spans="1:14" ht="13.2">
      <c r="A36" s="56"/>
      <c r="B36" s="389"/>
      <c r="C36" s="389"/>
      <c r="D36" s="389"/>
      <c r="E36" s="398"/>
      <c r="F36" s="170"/>
      <c r="G36" s="170"/>
      <c r="H36" s="431"/>
      <c r="I36" s="170"/>
      <c r="J36" s="431"/>
      <c r="K36" s="431"/>
      <c r="L36" s="432"/>
      <c r="M36" s="431"/>
      <c r="N36" s="389"/>
    </row>
    <row r="37" spans="1:14" ht="13.2">
      <c r="A37" s="56"/>
      <c r="B37" s="429" t="s">
        <v>454</v>
      </c>
      <c r="C37" s="389"/>
      <c r="D37" s="389"/>
      <c r="E37" s="398"/>
      <c r="F37" s="170">
        <v>24748</v>
      </c>
      <c r="G37" s="170">
        <v>37483</v>
      </c>
      <c r="H37" s="430">
        <f>$G$37/H38</f>
        <v>3.70129357164017</v>
      </c>
      <c r="I37" s="430">
        <f t="shared" ref="I37:J37" si="11">$G$37/I38</f>
        <v>3.5106303268708441</v>
      </c>
      <c r="J37" s="430">
        <f t="shared" si="11"/>
        <v>3.2764860139860139</v>
      </c>
      <c r="K37" s="430">
        <f>$G$37/K39</f>
        <v>11.97157457681252</v>
      </c>
      <c r="L37" s="430">
        <f t="shared" ref="L37:M37" si="12">$G$37/L39</f>
        <v>11.941064033131571</v>
      </c>
      <c r="M37" s="430">
        <f t="shared" si="12"/>
        <v>11.331015719467956</v>
      </c>
      <c r="N37" s="389"/>
    </row>
    <row r="38" spans="1:14" ht="13.2">
      <c r="A38" s="56"/>
      <c r="B38" s="324" t="s">
        <v>2</v>
      </c>
      <c r="C38" s="389"/>
      <c r="D38" s="389"/>
      <c r="E38" s="398"/>
      <c r="F38" s="170"/>
      <c r="G38" s="170"/>
      <c r="H38" s="170">
        <v>10127</v>
      </c>
      <c r="I38" s="170">
        <v>10677</v>
      </c>
      <c r="J38" s="170">
        <v>11440</v>
      </c>
      <c r="K38" s="170"/>
      <c r="L38" s="170"/>
      <c r="M38" s="170"/>
      <c r="N38" s="389"/>
    </row>
    <row r="39" spans="1:14" ht="13.2">
      <c r="A39" s="56"/>
      <c r="B39" s="324" t="s">
        <v>7</v>
      </c>
      <c r="C39" s="389"/>
      <c r="D39" s="389"/>
      <c r="E39" s="398"/>
      <c r="F39" s="170"/>
      <c r="G39" s="170"/>
      <c r="H39" s="170"/>
      <c r="I39" s="170"/>
      <c r="J39" s="170"/>
      <c r="K39" s="170">
        <v>3131</v>
      </c>
      <c r="L39" s="170">
        <v>3139</v>
      </c>
      <c r="M39" s="170">
        <v>3308</v>
      </c>
      <c r="N39" s="389"/>
    </row>
    <row r="40" spans="1:14" ht="13.2">
      <c r="A40" s="56"/>
      <c r="B40" s="389"/>
      <c r="C40" s="389"/>
      <c r="D40" s="389"/>
      <c r="E40" s="398"/>
      <c r="F40" s="170"/>
      <c r="G40" s="170"/>
      <c r="H40" s="431"/>
      <c r="I40" s="432"/>
      <c r="J40" s="431"/>
      <c r="K40" s="431"/>
      <c r="L40" s="432"/>
      <c r="M40" s="431"/>
      <c r="N40" s="389"/>
    </row>
    <row r="41" spans="1:14" ht="13.2">
      <c r="A41" s="56"/>
      <c r="B41" s="429" t="s">
        <v>452</v>
      </c>
      <c r="C41" s="389"/>
      <c r="D41" s="389"/>
      <c r="E41" s="398"/>
      <c r="F41" s="170">
        <v>3082.1</v>
      </c>
      <c r="G41" s="170">
        <v>8222.1</v>
      </c>
      <c r="H41" s="430">
        <f>$G$41/H42</f>
        <v>2.4683578504953467</v>
      </c>
      <c r="I41" s="430">
        <f t="shared" ref="I41:J41" si="13">$G$41/I42</f>
        <v>1.9670095693779905</v>
      </c>
      <c r="J41" s="430">
        <f t="shared" si="13"/>
        <v>1.8464181450707389</v>
      </c>
      <c r="K41" s="430">
        <f>$G$41/K43</f>
        <v>15.141988950276243</v>
      </c>
      <c r="L41" s="430">
        <f t="shared" ref="L41:M41" si="14">$G$41/L43</f>
        <v>10.487372448979592</v>
      </c>
      <c r="M41" s="430">
        <f t="shared" si="14"/>
        <v>9.661692126909518</v>
      </c>
      <c r="N41" s="389"/>
    </row>
    <row r="42" spans="1:14" ht="13.2">
      <c r="A42" s="56"/>
      <c r="B42" s="324" t="s">
        <v>2</v>
      </c>
      <c r="C42" s="389"/>
      <c r="D42" s="389"/>
      <c r="E42" s="389"/>
      <c r="F42" s="170"/>
      <c r="G42" s="170"/>
      <c r="H42" s="170">
        <v>3331</v>
      </c>
      <c r="I42" s="170">
        <v>4180</v>
      </c>
      <c r="J42" s="170">
        <v>4453</v>
      </c>
      <c r="K42" s="170"/>
      <c r="L42" s="170"/>
      <c r="M42" s="170"/>
      <c r="N42" s="389"/>
    </row>
    <row r="43" spans="1:14" ht="13.2">
      <c r="A43" s="56"/>
      <c r="B43" s="324" t="s">
        <v>7</v>
      </c>
      <c r="C43" s="389"/>
      <c r="D43" s="389"/>
      <c r="E43" s="389"/>
      <c r="F43" s="170"/>
      <c r="G43" s="170"/>
      <c r="H43" s="170"/>
      <c r="I43" s="170"/>
      <c r="J43" s="170"/>
      <c r="K43" s="170">
        <v>543</v>
      </c>
      <c r="L43" s="170">
        <v>784</v>
      </c>
      <c r="M43" s="170">
        <v>851</v>
      </c>
      <c r="N43" s="389"/>
    </row>
    <row r="44" spans="1:14" ht="13.2">
      <c r="A44" s="56"/>
      <c r="B44" s="389"/>
      <c r="C44" s="389"/>
      <c r="D44" s="389"/>
      <c r="E44" s="398"/>
      <c r="F44" s="171"/>
      <c r="G44" s="171"/>
      <c r="H44" s="431"/>
      <c r="I44" s="432"/>
      <c r="J44" s="431"/>
      <c r="K44" s="431"/>
      <c r="L44" s="432"/>
      <c r="M44" s="431"/>
      <c r="N44" s="389"/>
    </row>
    <row r="45" spans="1:14" ht="13.2">
      <c r="A45" s="56"/>
      <c r="B45" s="389"/>
      <c r="C45" s="389"/>
      <c r="D45" s="389"/>
      <c r="E45" s="398"/>
      <c r="F45" s="398"/>
      <c r="G45" s="398"/>
      <c r="H45" s="433"/>
      <c r="I45" s="433"/>
      <c r="J45" s="433"/>
      <c r="K45" s="433"/>
      <c r="L45" s="433"/>
      <c r="M45" s="433"/>
      <c r="N45" s="389"/>
    </row>
    <row r="46" spans="1:14" ht="13.2">
      <c r="A46" s="56"/>
      <c r="B46" s="429" t="s">
        <v>453</v>
      </c>
      <c r="C46" s="389"/>
      <c r="D46" s="389"/>
      <c r="E46" s="389"/>
      <c r="F46" s="389"/>
      <c r="G46" s="434" t="s">
        <v>444</v>
      </c>
      <c r="H46" s="737">
        <f>MAX(H21,H25,H29,H33,H37,H41)</f>
        <v>8.0201002531142986</v>
      </c>
      <c r="I46" s="738">
        <f t="shared" ref="I46:M46" si="15">MAX(I21,I25,I29,I33,I37,I41)</f>
        <v>6.8000757448241034</v>
      </c>
      <c r="J46" s="738">
        <f t="shared" si="15"/>
        <v>6.8000757448241034</v>
      </c>
      <c r="K46" s="738">
        <f t="shared" si="15"/>
        <v>25.571195005945302</v>
      </c>
      <c r="L46" s="738">
        <f t="shared" si="15"/>
        <v>16.61849794735571</v>
      </c>
      <c r="M46" s="739">
        <f t="shared" si="15"/>
        <v>21.835639040487372</v>
      </c>
      <c r="N46" s="389"/>
    </row>
    <row r="47" spans="1:14" ht="13.2">
      <c r="A47" s="56"/>
      <c r="B47" s="389"/>
      <c r="C47" s="389"/>
      <c r="D47" s="389"/>
      <c r="E47" s="389"/>
      <c r="F47" s="389"/>
      <c r="G47" s="434" t="s">
        <v>445</v>
      </c>
      <c r="H47" s="740">
        <f>AVERAGE(H21,H25,H29,H33,H37,H41)</f>
        <v>3.9064145951690765</v>
      </c>
      <c r="I47" s="435">
        <f t="shared" ref="I47:M47" si="16">AVERAGE(I21,I25,I29,I33,I37,I41)</f>
        <v>3.5726186372399584</v>
      </c>
      <c r="J47" s="435">
        <f t="shared" si="16"/>
        <v>3.4089374717595042</v>
      </c>
      <c r="K47" s="435">
        <f t="shared" si="16"/>
        <v>14.579653354123915</v>
      </c>
      <c r="L47" s="435">
        <f t="shared" si="16"/>
        <v>11.720510428755645</v>
      </c>
      <c r="M47" s="741">
        <f t="shared" si="16"/>
        <v>12.198042712135182</v>
      </c>
      <c r="N47" s="389"/>
    </row>
    <row r="48" spans="1:14" ht="13.2">
      <c r="A48" s="56"/>
      <c r="B48" s="389"/>
      <c r="C48" s="389"/>
      <c r="D48" s="389"/>
      <c r="E48" s="389"/>
      <c r="F48" s="389"/>
      <c r="G48" s="434" t="s">
        <v>446</v>
      </c>
      <c r="H48" s="740">
        <f>MEDIAN(H21,H25,H29,H37,H33,H41)</f>
        <v>3.3631638957144925</v>
      </c>
      <c r="I48" s="435">
        <f t="shared" ref="I48:M48" si="17">MEDIAN(I21,I25,I29,I37,I33,I41)</f>
        <v>3.2152335327082948</v>
      </c>
      <c r="J48" s="435">
        <f t="shared" si="17"/>
        <v>3.1052913711466346</v>
      </c>
      <c r="K48" s="435">
        <f t="shared" si="17"/>
        <v>13.556781763544382</v>
      </c>
      <c r="L48" s="435">
        <f t="shared" si="17"/>
        <v>11.366013392507165</v>
      </c>
      <c r="M48" s="741">
        <f t="shared" si="17"/>
        <v>10.496353923188737</v>
      </c>
      <c r="N48" s="389"/>
    </row>
    <row r="49" spans="1:14" ht="13.2">
      <c r="A49" s="56"/>
      <c r="B49" s="389"/>
      <c r="C49" s="389"/>
      <c r="D49" s="389"/>
      <c r="E49" s="389"/>
      <c r="F49" s="389"/>
      <c r="G49" s="434" t="s">
        <v>447</v>
      </c>
      <c r="H49" s="742">
        <f>MIN(H21,H25,H29,H33,H37,H41)</f>
        <v>1.4264938166169867</v>
      </c>
      <c r="I49" s="743">
        <f t="shared" ref="I49:M49" si="18">MIN(I21,I25,I29,I33,I37,I41)</f>
        <v>1.4222132207971496</v>
      </c>
      <c r="J49" s="743">
        <f t="shared" si="18"/>
        <v>1.4056547120557872</v>
      </c>
      <c r="K49" s="743">
        <f t="shared" si="18"/>
        <v>6.8954869623356361</v>
      </c>
      <c r="L49" s="743">
        <f t="shared" si="18"/>
        <v>6.984998306806637</v>
      </c>
      <c r="M49" s="744">
        <f t="shared" si="18"/>
        <v>7.3930824372759858</v>
      </c>
      <c r="N49" s="389"/>
    </row>
    <row r="50" spans="1:14" ht="13.2">
      <c r="A50" s="56"/>
      <c r="B50" s="389"/>
      <c r="C50" s="389"/>
      <c r="D50" s="389"/>
      <c r="E50" s="398"/>
      <c r="F50" s="398"/>
      <c r="G50" s="398"/>
      <c r="H50" s="398"/>
      <c r="I50" s="389"/>
      <c r="J50" s="389"/>
      <c r="K50" s="389"/>
      <c r="L50" s="389"/>
      <c r="M50" s="389"/>
      <c r="N50" s="389"/>
    </row>
    <row r="51" spans="1:14" ht="13.2">
      <c r="A51" s="56"/>
      <c r="C51" s="440"/>
      <c r="D51" s="440"/>
      <c r="E51" s="441"/>
      <c r="F51" s="442"/>
      <c r="G51" s="442" t="s">
        <v>438</v>
      </c>
      <c r="H51" s="681" t="s">
        <v>439</v>
      </c>
      <c r="I51" s="681"/>
      <c r="J51" s="681"/>
      <c r="K51" s="681" t="s">
        <v>440</v>
      </c>
      <c r="L51" s="681"/>
      <c r="M51" s="681"/>
      <c r="N51" s="389"/>
    </row>
    <row r="52" spans="1:14" s="636" customFormat="1" ht="13.2">
      <c r="B52" s="440" t="str">
        <f>B2&amp;" Implied Valuation"</f>
        <v>PayPal Implied Valuation</v>
      </c>
      <c r="C52" s="440"/>
      <c r="D52" s="440"/>
      <c r="E52" s="441"/>
      <c r="F52" s="442"/>
      <c r="G52" s="685" t="s">
        <v>442</v>
      </c>
      <c r="H52" s="686">
        <v>2024</v>
      </c>
      <c r="I52" s="686">
        <v>2025</v>
      </c>
      <c r="J52" s="687" t="s">
        <v>443</v>
      </c>
      <c r="K52" s="686">
        <v>2024</v>
      </c>
      <c r="L52" s="686">
        <v>2025</v>
      </c>
      <c r="M52" s="687" t="s">
        <v>443</v>
      </c>
      <c r="N52" s="637"/>
    </row>
    <row r="53" spans="1:14" ht="13.2">
      <c r="A53" s="56"/>
      <c r="B53" s="436"/>
      <c r="C53" s="436"/>
      <c r="D53" s="436"/>
      <c r="E53" s="437"/>
      <c r="F53" s="438"/>
      <c r="G53" s="438"/>
      <c r="H53" s="182"/>
      <c r="I53" s="182"/>
      <c r="J53" s="439"/>
      <c r="K53" s="182"/>
      <c r="L53" s="182"/>
      <c r="M53" s="439"/>
      <c r="N53" s="389"/>
    </row>
    <row r="54" spans="1:14" s="20" customFormat="1" ht="13.2">
      <c r="B54" s="125" t="s">
        <v>562</v>
      </c>
      <c r="C54" s="440"/>
      <c r="D54" s="440"/>
      <c r="E54" s="441"/>
      <c r="F54" s="442"/>
      <c r="G54" s="667">
        <f>F15</f>
        <v>44267.582869999998</v>
      </c>
      <c r="H54" s="667">
        <f>H48*I10</f>
        <v>106938.52239203372</v>
      </c>
      <c r="I54" s="667">
        <f>I48*J10</f>
        <v>106655.72674699956</v>
      </c>
      <c r="J54" s="667">
        <f>J48*K10</f>
        <v>104753.89911426057</v>
      </c>
      <c r="K54" s="667">
        <f>K48*I11</f>
        <v>86180.461670851641</v>
      </c>
      <c r="L54" s="667">
        <f>L48*J11</f>
        <v>79880.342122540358</v>
      </c>
      <c r="M54" s="667">
        <f>M48*K11</f>
        <v>70871.381689370348</v>
      </c>
      <c r="N54" s="443"/>
    </row>
    <row r="55" spans="1:14" s="20" customFormat="1" ht="13.2">
      <c r="B55" s="125" t="s">
        <v>560</v>
      </c>
      <c r="C55" s="440"/>
      <c r="D55" s="440"/>
      <c r="E55" s="441"/>
      <c r="F55" s="442"/>
      <c r="G55" s="668"/>
      <c r="H55" s="669">
        <f>DCF!$C$85</f>
        <v>-3369</v>
      </c>
      <c r="I55" s="669">
        <f>DCF!$C$85</f>
        <v>-3369</v>
      </c>
      <c r="J55" s="669">
        <f>DCF!$C$85</f>
        <v>-3369</v>
      </c>
      <c r="K55" s="669">
        <f>DCF!$C$85</f>
        <v>-3369</v>
      </c>
      <c r="L55" s="669">
        <f>DCF!$C$85</f>
        <v>-3369</v>
      </c>
      <c r="M55" s="669">
        <f>DCF!$C$85</f>
        <v>-3369</v>
      </c>
      <c r="N55" s="443"/>
    </row>
    <row r="56" spans="1:14" s="20" customFormat="1" ht="13.2">
      <c r="B56" s="125" t="s">
        <v>360</v>
      </c>
      <c r="C56" s="440"/>
      <c r="D56" s="440"/>
      <c r="E56" s="441"/>
      <c r="F56" s="442"/>
      <c r="G56" s="668"/>
      <c r="H56" s="667">
        <f>H54-H55</f>
        <v>110307.52239203372</v>
      </c>
      <c r="I56" s="667">
        <f t="shared" ref="I56:M56" si="19">I54-I55</f>
        <v>110024.72674699956</v>
      </c>
      <c r="J56" s="667">
        <f t="shared" si="19"/>
        <v>108122.89911426057</v>
      </c>
      <c r="K56" s="667">
        <f t="shared" si="19"/>
        <v>89549.461670851641</v>
      </c>
      <c r="L56" s="667">
        <f t="shared" si="19"/>
        <v>83249.342122540358</v>
      </c>
      <c r="M56" s="667">
        <f t="shared" si="19"/>
        <v>74240.381689370348</v>
      </c>
      <c r="N56" s="443"/>
    </row>
    <row r="57" spans="1:14" ht="13.2">
      <c r="A57" s="56"/>
      <c r="B57" s="125" t="s">
        <v>559</v>
      </c>
      <c r="H57" s="269">
        <f>$F$11</f>
        <v>952.42099999999994</v>
      </c>
      <c r="I57" s="269">
        <f t="shared" ref="I57:M57" si="20">$F$11</f>
        <v>952.42099999999994</v>
      </c>
      <c r="J57" s="269">
        <f t="shared" si="20"/>
        <v>952.42099999999994</v>
      </c>
      <c r="K57" s="269">
        <f t="shared" si="20"/>
        <v>952.42099999999994</v>
      </c>
      <c r="L57" s="269">
        <f t="shared" si="20"/>
        <v>952.42099999999994</v>
      </c>
      <c r="M57" s="269">
        <f t="shared" si="20"/>
        <v>952.42099999999994</v>
      </c>
    </row>
    <row r="58" spans="1:14" ht="13.2">
      <c r="A58" s="56"/>
      <c r="B58" s="125" t="s">
        <v>561</v>
      </c>
      <c r="H58" s="670">
        <f>H56/H57</f>
        <v>115.81802836354272</v>
      </c>
      <c r="I58" s="670">
        <f t="shared" ref="I58:M58" si="21">I56/I57</f>
        <v>115.52110542186655</v>
      </c>
      <c r="J58" s="670">
        <f t="shared" si="21"/>
        <v>113.52427037440435</v>
      </c>
      <c r="K58" s="670">
        <f t="shared" si="21"/>
        <v>94.022981088039472</v>
      </c>
      <c r="L58" s="670">
        <f t="shared" si="21"/>
        <v>87.408133716644599</v>
      </c>
      <c r="M58" s="670">
        <f t="shared" si="21"/>
        <v>77.949123013216166</v>
      </c>
    </row>
    <row r="59" spans="1:14" ht="13.2">
      <c r="A59" s="56"/>
      <c r="H59" s="109"/>
      <c r="I59" s="109"/>
      <c r="J59" s="109"/>
      <c r="K59" s="109"/>
      <c r="L59" s="109"/>
      <c r="M59" s="109"/>
    </row>
    <row r="60" spans="1:14" ht="13.2">
      <c r="A60" s="56"/>
      <c r="B60" s="125" t="s">
        <v>563</v>
      </c>
      <c r="C60" s="440"/>
      <c r="D60" s="440"/>
      <c r="E60" s="441"/>
      <c r="F60" s="442"/>
      <c r="G60" s="667">
        <f>G54</f>
        <v>44267.582869999998</v>
      </c>
      <c r="H60" s="667">
        <f>H47*I10</f>
        <v>124212.26488259113</v>
      </c>
      <c r="I60" s="667">
        <f>I47*J10</f>
        <v>118510.9054345239</v>
      </c>
      <c r="J60" s="667">
        <f>J47*K10</f>
        <v>114997.09667233512</v>
      </c>
      <c r="K60" s="667">
        <f>K47*I11</f>
        <v>92682.856372165726</v>
      </c>
      <c r="L60" s="667">
        <f>L47*J11</f>
        <v>82371.747293294669</v>
      </c>
      <c r="M60" s="667">
        <f>M47*K11</f>
        <v>82361.184392336756</v>
      </c>
    </row>
    <row r="61" spans="1:14" ht="13.2">
      <c r="A61" s="56"/>
      <c r="B61" s="125" t="s">
        <v>560</v>
      </c>
      <c r="C61" s="440"/>
      <c r="D61" s="440"/>
      <c r="E61" s="441"/>
      <c r="F61" s="442"/>
      <c r="G61" s="668"/>
      <c r="H61" s="669">
        <f>DCF!$C$85</f>
        <v>-3369</v>
      </c>
      <c r="I61" s="669">
        <f>DCF!$C$85</f>
        <v>-3369</v>
      </c>
      <c r="J61" s="669">
        <f>DCF!$C$85</f>
        <v>-3369</v>
      </c>
      <c r="K61" s="669">
        <f>DCF!$C$85</f>
        <v>-3369</v>
      </c>
      <c r="L61" s="669">
        <f>DCF!$C$85</f>
        <v>-3369</v>
      </c>
      <c r="M61" s="669">
        <f>DCF!$C$85</f>
        <v>-3369</v>
      </c>
    </row>
    <row r="62" spans="1:14" ht="13.2">
      <c r="A62" s="56"/>
      <c r="B62" s="125" t="s">
        <v>360</v>
      </c>
      <c r="C62" s="440"/>
      <c r="D62" s="440"/>
      <c r="E62" s="441"/>
      <c r="F62" s="442"/>
      <c r="G62" s="668"/>
      <c r="H62" s="667">
        <f>H60-H61</f>
        <v>127581.26488259113</v>
      </c>
      <c r="I62" s="667">
        <f t="shared" ref="I62" si="22">I60-I61</f>
        <v>121879.9054345239</v>
      </c>
      <c r="J62" s="667">
        <f t="shared" ref="J62" si="23">J60-J61</f>
        <v>118366.09667233512</v>
      </c>
      <c r="K62" s="667">
        <f t="shared" ref="K62" si="24">K60-K61</f>
        <v>96051.856372165726</v>
      </c>
      <c r="L62" s="667">
        <f t="shared" ref="L62" si="25">L60-L61</f>
        <v>85740.747293294669</v>
      </c>
      <c r="M62" s="667">
        <f t="shared" ref="M62" si="26">M60-M61</f>
        <v>85730.184392336756</v>
      </c>
    </row>
    <row r="63" spans="1:14" ht="13.2">
      <c r="A63" s="56"/>
      <c r="B63" s="125" t="s">
        <v>559</v>
      </c>
      <c r="H63" s="269">
        <f>$F$11</f>
        <v>952.42099999999994</v>
      </c>
      <c r="I63" s="269">
        <f t="shared" ref="I63:M63" si="27">$F$11</f>
        <v>952.42099999999994</v>
      </c>
      <c r="J63" s="269">
        <f t="shared" si="27"/>
        <v>952.42099999999994</v>
      </c>
      <c r="K63" s="269">
        <f t="shared" si="27"/>
        <v>952.42099999999994</v>
      </c>
      <c r="L63" s="269">
        <f t="shared" si="27"/>
        <v>952.42099999999994</v>
      </c>
      <c r="M63" s="269">
        <f t="shared" si="27"/>
        <v>952.42099999999994</v>
      </c>
    </row>
    <row r="64" spans="1:14" ht="13.2">
      <c r="A64" s="56"/>
      <c r="B64" s="125" t="s">
        <v>561</v>
      </c>
      <c r="H64" s="670">
        <f>H62/H63</f>
        <v>133.95469533178201</v>
      </c>
      <c r="I64" s="670">
        <f t="shared" ref="I64" si="28">I62/I63</f>
        <v>127.96851962999966</v>
      </c>
      <c r="J64" s="670">
        <f t="shared" ref="J64" si="29">J62/J63</f>
        <v>124.2791755666193</v>
      </c>
      <c r="K64" s="670">
        <f t="shared" ref="K64" si="30">K62/K63</f>
        <v>100.85020843950913</v>
      </c>
      <c r="L64" s="670">
        <f t="shared" ref="L64" si="31">L62/L63</f>
        <v>90.023999148795198</v>
      </c>
      <c r="M64" s="670">
        <f t="shared" ref="M64" si="32">M62/M63</f>
        <v>90.012908569148266</v>
      </c>
    </row>
    <row r="65" spans="1:13" ht="13.2">
      <c r="A65" s="56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</row>
    <row r="66" spans="1:13" ht="13.2">
      <c r="A66" s="56"/>
    </row>
    <row r="67" spans="1:13" ht="13.2">
      <c r="A67" s="56"/>
    </row>
    <row r="68" spans="1:13" ht="13.2">
      <c r="A68" s="56"/>
    </row>
    <row r="69" spans="1:13" ht="13.2">
      <c r="A69" s="56"/>
    </row>
    <row r="70" spans="1:13" ht="13.2">
      <c r="A70" s="56"/>
    </row>
    <row r="71" spans="1:13" ht="13.2">
      <c r="A71" s="56"/>
    </row>
    <row r="72" spans="1:13" ht="13.2">
      <c r="A72" s="56"/>
    </row>
    <row r="73" spans="1:13" ht="13.2">
      <c r="A73" s="56"/>
    </row>
    <row r="74" spans="1:13">
      <c r="A74" s="56"/>
      <c r="B74" s="58"/>
      <c r="C74" s="59"/>
      <c r="D74" s="59"/>
      <c r="E74" s="59"/>
      <c r="F74" s="59"/>
    </row>
    <row r="75" spans="1:13" ht="13.2">
      <c r="A75" s="56"/>
      <c r="B75" s="444"/>
      <c r="C75" s="444"/>
      <c r="D75" s="444"/>
      <c r="E75" s="444"/>
      <c r="F75" s="445"/>
    </row>
    <row r="76" spans="1:13" ht="13.2">
      <c r="A76" s="56"/>
      <c r="B76" s="155"/>
      <c r="C76" s="155"/>
      <c r="D76" s="155"/>
      <c r="E76" s="155"/>
      <c r="F76" s="155"/>
    </row>
    <row r="77" spans="1:13" ht="15">
      <c r="A77" s="56"/>
      <c r="E77" s="446"/>
      <c r="F77" s="447"/>
    </row>
    <row r="78" spans="1:13" ht="13.2">
      <c r="A78" s="56"/>
      <c r="E78" s="187"/>
      <c r="F78" s="448"/>
    </row>
    <row r="79" spans="1:13" ht="13.2">
      <c r="A79" s="56"/>
      <c r="E79" s="450"/>
      <c r="F79" s="149"/>
    </row>
    <row r="80" spans="1:13" ht="13.2">
      <c r="A80" s="56"/>
      <c r="E80" s="181"/>
      <c r="F80" s="76"/>
    </row>
    <row r="81" spans="2:6">
      <c r="E81" s="181"/>
      <c r="F81" s="451"/>
    </row>
    <row r="82" spans="2:6">
      <c r="B82" s="336"/>
      <c r="C82" s="336"/>
      <c r="D82" s="336"/>
      <c r="E82" s="452"/>
      <c r="F82" s="453"/>
    </row>
  </sheetData>
  <printOptions horizontalCentered="1"/>
  <pageMargins left="0.7" right="0.7" top="0.75" bottom="0.75" header="0.3" footer="0.3"/>
  <pageSetup scale="97" fitToHeight="0" orientation="landscape" r:id="rId1"/>
  <headerFooter differentOddEven="1">
    <oddFooter>&amp;L&amp;"Arial"&amp;8Tyler Spencer&amp;C&amp;"Arial"&amp;8&amp;INot associated with PayPal. For educational purposes only.&amp;R&amp;"Arial"&amp;8Page &amp;P</oddFooter>
    <evenFooter>&amp;L&amp;"Arial"&amp;8Tyler Spencer&amp;C&amp;"Arial"&amp;8&amp;INot associated with PayPal. For educational purposes only.&amp;R&amp;"Arial"&amp;8Page &amp;P</evenFooter>
  </headerFooter>
  <rowBreaks count="1" manualBreakCount="1">
    <brk id="34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E5A85-E9E8-4B4F-B560-F1A6EBD83AD0}">
  <sheetPr>
    <pageSetUpPr fitToPage="1"/>
  </sheetPr>
  <dimension ref="A1:N161"/>
  <sheetViews>
    <sheetView topLeftCell="A62" zoomScaleNormal="100" workbookViewId="0">
      <selection activeCell="I9" sqref="I9"/>
    </sheetView>
  </sheetViews>
  <sheetFormatPr defaultColWidth="8.88671875" defaultRowHeight="13.8"/>
  <cols>
    <col min="1" max="1" width="2" style="55" customWidth="1"/>
    <col min="2" max="2" width="8.88671875" style="55"/>
    <col min="3" max="3" width="21.109375" style="55" customWidth="1"/>
    <col min="4" max="4" width="14.33203125" style="55" customWidth="1"/>
    <col min="5" max="5" width="17.33203125" style="55" customWidth="1"/>
    <col min="6" max="6" width="17" style="55" customWidth="1"/>
    <col min="7" max="7" width="17.88671875" style="55" customWidth="1"/>
    <col min="8" max="8" width="18.6640625" style="55" customWidth="1"/>
    <col min="9" max="9" width="20.33203125" style="55" customWidth="1"/>
    <col min="10" max="10" width="18.6640625" style="55" customWidth="1"/>
    <col min="11" max="16384" width="8.88671875" style="55"/>
  </cols>
  <sheetData>
    <row r="1" spans="1:14" s="56" customFormat="1" ht="13.2">
      <c r="I1" s="218"/>
      <c r="J1" s="725" t="str">
        <f>"CURRENTLY RUNNING: "&amp;UPPER(CHOOSE(Scenarios!$C$6,Scenarios!B10,Scenarios!B11,Scenarios!B12))&amp;" SCENARIO"</f>
        <v>CURRENTLY RUNNING: BASE CASE SCENARIO</v>
      </c>
    </row>
    <row r="2" spans="1:14" ht="22.8">
      <c r="B2" s="201" t="str">
        <f>Cover!B7</f>
        <v>PayPal</v>
      </c>
      <c r="C2" s="58"/>
      <c r="D2" s="58"/>
      <c r="E2" s="58"/>
      <c r="F2" s="58"/>
      <c r="G2" s="58"/>
      <c r="H2" s="58"/>
      <c r="I2" s="58"/>
      <c r="J2" s="58"/>
    </row>
    <row r="3" spans="1:14" ht="18" thickBot="1">
      <c r="B3" s="219" t="s">
        <v>459</v>
      </c>
      <c r="C3" s="68"/>
      <c r="D3" s="68"/>
      <c r="E3" s="68"/>
      <c r="F3" s="68"/>
      <c r="G3" s="68"/>
      <c r="H3" s="68"/>
      <c r="I3" s="68"/>
      <c r="J3" s="68"/>
    </row>
    <row r="4" spans="1:14" s="56" customFormat="1" ht="13.2">
      <c r="B4" s="220" t="s">
        <v>93</v>
      </c>
      <c r="C4" s="79"/>
      <c r="D4" s="79"/>
      <c r="E4" s="79"/>
      <c r="F4" s="79"/>
      <c r="G4" s="79"/>
      <c r="H4" s="79"/>
      <c r="I4" s="79"/>
      <c r="J4" s="79"/>
      <c r="K4" s="79"/>
    </row>
    <row r="5" spans="1:14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</row>
    <row r="6" spans="1:14">
      <c r="A6" s="56"/>
      <c r="B6" s="315" t="s">
        <v>626</v>
      </c>
      <c r="C6" s="454"/>
      <c r="D6" s="20"/>
      <c r="E6" s="20"/>
      <c r="F6" s="20"/>
      <c r="G6" s="20"/>
      <c r="H6" s="20"/>
      <c r="I6" s="20"/>
      <c r="J6" s="56"/>
      <c r="K6" s="56"/>
      <c r="L6" s="56"/>
      <c r="M6" s="56"/>
      <c r="N6" s="56"/>
    </row>
    <row r="7" spans="1:14">
      <c r="A7" s="56"/>
      <c r="B7" s="20"/>
      <c r="C7" s="20"/>
      <c r="E7" s="677">
        <v>1</v>
      </c>
      <c r="F7" s="272">
        <f>E7+1</f>
        <v>2</v>
      </c>
      <c r="G7" s="272">
        <f>F7+1</f>
        <v>3</v>
      </c>
      <c r="H7" s="272">
        <f t="shared" ref="H7:J7" si="0">G7+1</f>
        <v>4</v>
      </c>
      <c r="I7" s="272">
        <f>H7+1</f>
        <v>5</v>
      </c>
      <c r="J7" s="272">
        <f t="shared" si="0"/>
        <v>6</v>
      </c>
      <c r="K7" s="56"/>
      <c r="L7" s="56"/>
      <c r="M7" s="56"/>
      <c r="N7" s="56"/>
    </row>
    <row r="8" spans="1:14">
      <c r="A8" s="56"/>
      <c r="B8" s="455" t="s">
        <v>460</v>
      </c>
      <c r="C8" s="456" t="s">
        <v>461</v>
      </c>
      <c r="E8" s="273" t="s">
        <v>479</v>
      </c>
      <c r="F8" s="273" t="s">
        <v>480</v>
      </c>
      <c r="G8" s="273" t="s">
        <v>492</v>
      </c>
      <c r="H8" s="273" t="s">
        <v>494</v>
      </c>
      <c r="I8" s="273" t="s">
        <v>484</v>
      </c>
      <c r="J8" s="273" t="s">
        <v>483</v>
      </c>
      <c r="K8" s="56"/>
      <c r="L8" s="56"/>
      <c r="M8" s="56"/>
      <c r="N8" s="56"/>
    </row>
    <row r="9" spans="1:14" ht="26.4">
      <c r="A9" s="56"/>
      <c r="B9" s="455" t="s">
        <v>462</v>
      </c>
      <c r="C9" s="456"/>
      <c r="E9" s="273" t="s">
        <v>451</v>
      </c>
      <c r="F9" s="273" t="s">
        <v>452</v>
      </c>
      <c r="G9" s="273" t="s">
        <v>493</v>
      </c>
      <c r="H9" s="273" t="s">
        <v>451</v>
      </c>
      <c r="I9" s="273" t="s">
        <v>450</v>
      </c>
      <c r="J9" s="273" t="s">
        <v>87</v>
      </c>
      <c r="K9" s="56"/>
      <c r="L9" s="56"/>
      <c r="M9" s="56"/>
      <c r="N9" s="56"/>
    </row>
    <row r="10" spans="1:14">
      <c r="A10" s="56"/>
      <c r="B10" s="125" t="s">
        <v>463</v>
      </c>
      <c r="C10" s="20"/>
      <c r="E10" s="457">
        <v>45764</v>
      </c>
      <c r="F10" s="457">
        <v>45704</v>
      </c>
      <c r="G10" s="457">
        <v>45383</v>
      </c>
      <c r="H10" s="457">
        <v>44774</v>
      </c>
      <c r="I10" s="457">
        <v>43481</v>
      </c>
      <c r="J10" s="457">
        <v>43789</v>
      </c>
      <c r="K10" s="56"/>
      <c r="L10" s="56"/>
      <c r="M10" s="56"/>
      <c r="N10" s="56"/>
    </row>
    <row r="11" spans="1:14">
      <c r="A11" s="56"/>
      <c r="B11" s="125" t="s">
        <v>464</v>
      </c>
      <c r="C11" s="20"/>
      <c r="E11" s="666" t="s">
        <v>465</v>
      </c>
      <c r="F11" s="666" t="s">
        <v>465</v>
      </c>
      <c r="G11" s="666" t="s">
        <v>465</v>
      </c>
      <c r="H11" s="666" t="s">
        <v>465</v>
      </c>
      <c r="I11" s="666" t="s">
        <v>465</v>
      </c>
      <c r="J11" s="666" t="s">
        <v>465</v>
      </c>
      <c r="K11" s="56"/>
      <c r="L11" s="56"/>
      <c r="M11" s="56"/>
      <c r="N11" s="56"/>
    </row>
    <row r="12" spans="1:14">
      <c r="A12" s="56"/>
      <c r="B12" s="125" t="s">
        <v>466</v>
      </c>
      <c r="C12" s="20"/>
      <c r="E12" s="458" t="s">
        <v>467</v>
      </c>
      <c r="F12" s="666" t="s">
        <v>486</v>
      </c>
      <c r="G12" s="458" t="s">
        <v>467</v>
      </c>
      <c r="H12" s="458" t="s">
        <v>467</v>
      </c>
      <c r="I12" s="458" t="s">
        <v>467</v>
      </c>
      <c r="J12" s="458" t="s">
        <v>467</v>
      </c>
      <c r="K12" s="56"/>
      <c r="L12" s="56"/>
      <c r="M12" s="56"/>
      <c r="N12" s="56"/>
    </row>
    <row r="13" spans="1:14">
      <c r="A13" s="56"/>
      <c r="B13" s="459" t="str">
        <f>D2&amp;" to target exchange rate at announcement date"</f>
        <v xml:space="preserve"> to target exchange rate at announcement date</v>
      </c>
      <c r="C13" s="20"/>
      <c r="E13" s="460">
        <v>1</v>
      </c>
      <c r="F13" s="460">
        <v>1.04</v>
      </c>
      <c r="G13" s="460">
        <v>1</v>
      </c>
      <c r="H13" s="460">
        <v>1</v>
      </c>
      <c r="I13" s="460">
        <v>1</v>
      </c>
      <c r="J13" s="460">
        <v>1</v>
      </c>
      <c r="K13" s="56"/>
      <c r="L13" s="56"/>
      <c r="M13" s="56"/>
      <c r="N13" s="56"/>
    </row>
    <row r="14" spans="1:14">
      <c r="A14" s="56"/>
      <c r="B14" s="200" t="s">
        <v>488</v>
      </c>
      <c r="C14" s="20"/>
      <c r="E14" s="666" t="s">
        <v>489</v>
      </c>
      <c r="F14" s="458" t="s">
        <v>489</v>
      </c>
      <c r="G14" s="666" t="s">
        <v>598</v>
      </c>
      <c r="H14" s="666" t="s">
        <v>489</v>
      </c>
      <c r="I14" s="458" t="s">
        <v>489</v>
      </c>
      <c r="J14" s="458" t="s">
        <v>489</v>
      </c>
      <c r="K14" s="56"/>
      <c r="L14" s="56"/>
      <c r="M14" s="56"/>
      <c r="N14" s="56"/>
    </row>
    <row r="15" spans="1:14">
      <c r="A15" s="56"/>
      <c r="B15" s="461"/>
      <c r="C15" s="20"/>
      <c r="E15" s="462"/>
      <c r="F15" s="462"/>
      <c r="G15" s="462"/>
      <c r="H15" s="462"/>
      <c r="I15" s="462"/>
      <c r="J15" s="462"/>
      <c r="K15" s="56"/>
      <c r="L15" s="56"/>
      <c r="M15" s="56"/>
      <c r="N15" s="56"/>
    </row>
    <row r="16" spans="1:14">
      <c r="A16" s="56"/>
      <c r="B16" s="121" t="s">
        <v>627</v>
      </c>
      <c r="C16" s="20"/>
      <c r="E16" s="20"/>
      <c r="F16" s="20"/>
      <c r="G16" s="20"/>
      <c r="H16" s="20"/>
      <c r="I16" s="20"/>
      <c r="J16" s="20"/>
      <c r="K16" s="56"/>
      <c r="L16" s="56"/>
      <c r="M16" s="56"/>
      <c r="N16" s="56"/>
    </row>
    <row r="17" spans="1:14">
      <c r="A17" s="56"/>
      <c r="B17" s="121"/>
      <c r="C17" s="20"/>
      <c r="E17" s="20"/>
      <c r="F17" s="20"/>
      <c r="G17" s="20"/>
      <c r="H17" s="20"/>
      <c r="I17" s="20"/>
      <c r="J17" s="20"/>
      <c r="K17" s="56"/>
      <c r="L17" s="56"/>
      <c r="M17" s="56"/>
      <c r="N17" s="56"/>
    </row>
    <row r="18" spans="1:14">
      <c r="A18" s="56"/>
      <c r="B18" s="125" t="s">
        <v>468</v>
      </c>
      <c r="C18" s="20"/>
      <c r="E18" s="666" t="s">
        <v>18</v>
      </c>
      <c r="F18" s="666" t="s">
        <v>18</v>
      </c>
      <c r="G18" s="666" t="s">
        <v>18</v>
      </c>
      <c r="H18" s="666" t="s">
        <v>18</v>
      </c>
      <c r="I18" s="666" t="s">
        <v>485</v>
      </c>
      <c r="J18" s="666" t="s">
        <v>18</v>
      </c>
      <c r="K18" s="56"/>
      <c r="L18" s="56"/>
      <c r="M18" s="56"/>
      <c r="N18" s="56"/>
    </row>
    <row r="19" spans="1:14">
      <c r="A19" s="56"/>
      <c r="B19" s="125" t="s">
        <v>469</v>
      </c>
      <c r="C19" s="463"/>
      <c r="E19" s="666" t="s">
        <v>481</v>
      </c>
      <c r="F19" s="460">
        <v>7.5</v>
      </c>
      <c r="G19" s="675">
        <v>34</v>
      </c>
      <c r="H19" s="675">
        <v>34</v>
      </c>
      <c r="I19" s="270">
        <v>22.74</v>
      </c>
      <c r="J19" s="666" t="s">
        <v>481</v>
      </c>
      <c r="K19" s="56"/>
      <c r="L19" s="56"/>
      <c r="M19" s="56"/>
      <c r="N19" s="56"/>
    </row>
    <row r="20" spans="1:14">
      <c r="A20" s="56"/>
      <c r="B20" s="125" t="s">
        <v>470</v>
      </c>
      <c r="C20" s="20"/>
      <c r="E20" s="128">
        <v>1</v>
      </c>
      <c r="F20" s="128">
        <v>1</v>
      </c>
      <c r="G20" s="128">
        <v>1</v>
      </c>
      <c r="H20" s="128">
        <v>1</v>
      </c>
      <c r="I20" s="128">
        <v>1</v>
      </c>
      <c r="J20" s="128">
        <v>1</v>
      </c>
      <c r="K20" s="56"/>
      <c r="L20" s="56"/>
      <c r="M20" s="56"/>
      <c r="N20" s="56"/>
    </row>
    <row r="21" spans="1:14">
      <c r="A21" s="56"/>
      <c r="B21" s="125" t="s">
        <v>471</v>
      </c>
      <c r="C21" s="20"/>
      <c r="E21" s="172">
        <v>600</v>
      </c>
      <c r="F21" s="666" t="s">
        <v>487</v>
      </c>
      <c r="G21" s="666" t="s">
        <v>481</v>
      </c>
      <c r="H21" s="666" t="s">
        <v>487</v>
      </c>
      <c r="I21" s="172">
        <v>900</v>
      </c>
      <c r="J21" s="666" t="s">
        <v>481</v>
      </c>
      <c r="K21" s="56"/>
      <c r="L21" s="56"/>
      <c r="M21" s="56"/>
      <c r="N21" s="56"/>
    </row>
    <row r="22" spans="1:14" ht="79.2">
      <c r="A22" s="56"/>
      <c r="B22" s="464" t="s">
        <v>472</v>
      </c>
      <c r="C22" s="465"/>
      <c r="E22" s="693" t="s">
        <v>595</v>
      </c>
      <c r="F22" s="693" t="s">
        <v>594</v>
      </c>
      <c r="G22" s="693" t="s">
        <v>592</v>
      </c>
      <c r="H22" s="693" t="s">
        <v>593</v>
      </c>
      <c r="I22" s="693" t="s">
        <v>590</v>
      </c>
      <c r="J22" s="693" t="s">
        <v>591</v>
      </c>
      <c r="K22" s="56"/>
      <c r="L22" s="56"/>
      <c r="M22" s="56"/>
      <c r="N22" s="56"/>
    </row>
    <row r="23" spans="1:14">
      <c r="A23" s="56"/>
      <c r="B23" s="465"/>
      <c r="C23" s="465"/>
      <c r="E23" s="465"/>
      <c r="F23" s="465"/>
      <c r="G23" s="465"/>
      <c r="H23" s="465"/>
      <c r="I23" s="465"/>
      <c r="J23" s="465"/>
      <c r="K23" s="56"/>
      <c r="L23" s="56"/>
      <c r="M23" s="56"/>
      <c r="N23" s="56"/>
    </row>
    <row r="24" spans="1:14">
      <c r="A24" s="56"/>
      <c r="B24" s="121" t="s">
        <v>628</v>
      </c>
      <c r="C24" s="20"/>
      <c r="E24" s="20"/>
      <c r="F24" s="20"/>
      <c r="G24" s="20"/>
      <c r="H24" s="20"/>
      <c r="I24" s="20"/>
      <c r="J24" s="20"/>
      <c r="K24" s="56"/>
      <c r="L24" s="56"/>
      <c r="M24" s="56"/>
      <c r="N24" s="56"/>
    </row>
    <row r="25" spans="1:14">
      <c r="A25" s="56"/>
      <c r="B25" s="11"/>
      <c r="C25" s="20"/>
      <c r="E25" s="20"/>
      <c r="F25" s="316"/>
      <c r="G25" s="20"/>
      <c r="H25" s="20"/>
      <c r="I25" s="20"/>
      <c r="J25" s="20"/>
      <c r="K25" s="56"/>
      <c r="L25" s="56"/>
      <c r="M25" s="56"/>
      <c r="N25" s="56"/>
    </row>
    <row r="26" spans="1:14">
      <c r="A26" s="56"/>
      <c r="B26" s="125" t="s">
        <v>473</v>
      </c>
      <c r="C26" s="20"/>
      <c r="E26" s="186"/>
      <c r="F26" s="270">
        <v>6.54</v>
      </c>
      <c r="G26" s="270">
        <v>31.62</v>
      </c>
      <c r="H26" s="270">
        <v>27.34</v>
      </c>
      <c r="I26" s="270">
        <v>17.55</v>
      </c>
      <c r="J26" s="186"/>
      <c r="K26" s="56"/>
      <c r="L26" s="56"/>
      <c r="M26" s="56"/>
      <c r="N26" s="56"/>
    </row>
    <row r="27" spans="1:14">
      <c r="A27" s="56"/>
      <c r="B27" s="125" t="s">
        <v>474</v>
      </c>
      <c r="C27" s="20"/>
      <c r="E27" s="186"/>
      <c r="F27" s="270">
        <v>6.63</v>
      </c>
      <c r="G27" s="270">
        <v>28.9</v>
      </c>
      <c r="H27" s="270">
        <v>26.22</v>
      </c>
      <c r="I27" s="270">
        <v>17.75</v>
      </c>
      <c r="J27" s="186"/>
      <c r="K27" s="56"/>
      <c r="L27" s="56"/>
      <c r="M27" s="56"/>
      <c r="N27" s="56"/>
    </row>
    <row r="28" spans="1:14">
      <c r="A28" s="56"/>
      <c r="B28" s="125" t="s">
        <v>475</v>
      </c>
      <c r="C28" s="20"/>
      <c r="E28" s="186"/>
      <c r="F28" s="270">
        <v>7.65</v>
      </c>
      <c r="G28" s="270">
        <v>26.07</v>
      </c>
      <c r="H28" s="270">
        <v>23.8</v>
      </c>
      <c r="I28" s="270">
        <v>16.420000000000002</v>
      </c>
      <c r="J28" s="186"/>
      <c r="K28" s="56"/>
      <c r="L28" s="56"/>
      <c r="M28" s="56"/>
      <c r="N28" s="56"/>
    </row>
    <row r="29" spans="1:14">
      <c r="A29" s="56"/>
      <c r="B29" s="125" t="s">
        <v>476</v>
      </c>
      <c r="C29" s="20"/>
      <c r="E29" s="193" t="str">
        <f t="shared" ref="E29:J29" si="1">IFERROR(E19/E26-1, "NM")</f>
        <v>NM</v>
      </c>
      <c r="F29" s="193">
        <f t="shared" si="1"/>
        <v>0.14678899082568808</v>
      </c>
      <c r="G29" s="193">
        <f>IFERROR(G19/G26-1, "NM")</f>
        <v>7.5268817204301008E-2</v>
      </c>
      <c r="H29" s="193">
        <f>IFERROR(H19/H26-1, "NM")</f>
        <v>0.24359912216532553</v>
      </c>
      <c r="I29" s="193">
        <f t="shared" si="1"/>
        <v>0.29572649572649556</v>
      </c>
      <c r="J29" s="193" t="str">
        <f t="shared" si="1"/>
        <v>NM</v>
      </c>
      <c r="K29" s="56"/>
      <c r="L29" s="56"/>
      <c r="M29" s="56"/>
      <c r="N29" s="56"/>
    </row>
    <row r="30" spans="1:14">
      <c r="A30" s="56"/>
      <c r="B30" s="125" t="s">
        <v>477</v>
      </c>
      <c r="C30" s="20"/>
      <c r="E30" s="193" t="str">
        <f t="shared" ref="E30:J30" si="2">IFERROR(E19/E27-1, "NM")</f>
        <v>NM</v>
      </c>
      <c r="F30" s="193">
        <f t="shared" si="2"/>
        <v>0.13122171945701355</v>
      </c>
      <c r="G30" s="193">
        <f>IFERROR(G19/G27-1, "NM")</f>
        <v>0.17647058823529416</v>
      </c>
      <c r="H30" s="193">
        <f>IFERROR(H19/H27-1, "NM")</f>
        <v>0.29672006102212056</v>
      </c>
      <c r="I30" s="193">
        <f t="shared" si="2"/>
        <v>0.28112676056338026</v>
      </c>
      <c r="J30" s="193" t="str">
        <f t="shared" si="2"/>
        <v>NM</v>
      </c>
      <c r="K30" s="56"/>
      <c r="L30" s="56"/>
      <c r="M30" s="56"/>
      <c r="N30" s="56"/>
    </row>
    <row r="31" spans="1:14">
      <c r="A31" s="56"/>
      <c r="B31" s="125" t="s">
        <v>478</v>
      </c>
      <c r="C31" s="20"/>
      <c r="E31" s="193" t="str">
        <f t="shared" ref="E31:J31" si="3">IFERROR(E19/E28-1, "NM")</f>
        <v>NM</v>
      </c>
      <c r="F31" s="193">
        <f t="shared" si="3"/>
        <v>-1.9607843137254943E-2</v>
      </c>
      <c r="G31" s="193">
        <f>IFERROR(G19/G28-1, "NM")</f>
        <v>0.30418105101649395</v>
      </c>
      <c r="H31" s="193">
        <f>IFERROR(H19/H28-1, "NM")</f>
        <v>0.4285714285714286</v>
      </c>
      <c r="I31" s="193">
        <f t="shared" si="3"/>
        <v>0.38489646772228969</v>
      </c>
      <c r="J31" s="193" t="str">
        <f t="shared" si="3"/>
        <v>NM</v>
      </c>
      <c r="K31" s="56"/>
      <c r="L31" s="56"/>
      <c r="M31" s="56"/>
      <c r="N31" s="56"/>
    </row>
    <row r="32" spans="1:14">
      <c r="A32" s="56"/>
      <c r="B32" s="20"/>
      <c r="C32" s="20"/>
      <c r="E32" s="187"/>
      <c r="F32" s="187"/>
      <c r="G32" s="187"/>
      <c r="H32" s="187"/>
      <c r="I32" s="187"/>
      <c r="J32" s="187"/>
      <c r="K32" s="56"/>
      <c r="L32" s="56"/>
      <c r="M32" s="56"/>
      <c r="N32" s="56"/>
    </row>
    <row r="33" spans="1:14">
      <c r="A33" s="56"/>
      <c r="B33" s="121" t="s">
        <v>629</v>
      </c>
      <c r="C33" s="20"/>
      <c r="E33" s="76"/>
      <c r="F33" s="76"/>
      <c r="G33" s="76"/>
      <c r="H33" s="76"/>
      <c r="I33" s="76"/>
      <c r="J33" s="76"/>
      <c r="K33" s="56"/>
      <c r="L33" s="56"/>
      <c r="M33" s="56"/>
      <c r="N33" s="56"/>
    </row>
    <row r="34" spans="1:14">
      <c r="A34" s="56"/>
      <c r="B34" s="121"/>
      <c r="C34" s="20"/>
      <c r="E34" s="76"/>
      <c r="F34" s="76"/>
      <c r="G34" s="76"/>
      <c r="H34" s="76"/>
      <c r="I34" s="76"/>
      <c r="J34" s="76"/>
      <c r="K34" s="56"/>
      <c r="L34" s="56"/>
      <c r="M34" s="56"/>
      <c r="N34" s="56"/>
    </row>
    <row r="35" spans="1:14">
      <c r="A35" s="56"/>
      <c r="B35" s="20" t="s">
        <v>559</v>
      </c>
      <c r="C35" s="20"/>
      <c r="E35" s="692" t="s">
        <v>487</v>
      </c>
      <c r="F35" s="316">
        <v>199.636</v>
      </c>
      <c r="G35" s="143">
        <v>139.24799999999999</v>
      </c>
      <c r="H35" s="316">
        <v>91.507999999999996</v>
      </c>
      <c r="I35" s="143">
        <v>957</v>
      </c>
      <c r="J35" s="692" t="s">
        <v>487</v>
      </c>
      <c r="K35" s="56"/>
      <c r="L35" s="56"/>
      <c r="M35" s="56"/>
      <c r="N35" s="56"/>
    </row>
    <row r="36" spans="1:14">
      <c r="A36" s="56"/>
      <c r="B36" s="125" t="s">
        <v>495</v>
      </c>
      <c r="C36" s="20"/>
      <c r="E36" s="130" t="str">
        <f t="shared" ref="E36:G36" si="4">IFERROR(E19*E35,"NM")</f>
        <v>NM</v>
      </c>
      <c r="F36" s="130">
        <f>IFERROR(F19*F35,"NM")</f>
        <v>1497.27</v>
      </c>
      <c r="G36" s="130">
        <f t="shared" si="4"/>
        <v>4734.4319999999998</v>
      </c>
      <c r="H36" s="130">
        <f>IFERROR(H19*H35,"NM")</f>
        <v>3111.2719999999999</v>
      </c>
      <c r="I36" s="130">
        <f>IFERROR(I19*I35,"NM")</f>
        <v>21762.18</v>
      </c>
      <c r="J36" s="130" t="str">
        <f t="shared" ref="J36" si="5">IFERROR(J19*J35,"NM")</f>
        <v>NM</v>
      </c>
      <c r="K36" s="56"/>
      <c r="L36" s="56"/>
      <c r="M36" s="56"/>
      <c r="N36" s="56"/>
    </row>
    <row r="37" spans="1:14">
      <c r="A37" s="56"/>
      <c r="B37" s="125" t="s">
        <v>496</v>
      </c>
      <c r="C37" s="20"/>
      <c r="E37" s="674">
        <v>24250</v>
      </c>
      <c r="F37" s="674">
        <v>1993</v>
      </c>
      <c r="G37" s="674">
        <v>5210</v>
      </c>
      <c r="H37" s="674">
        <v>3500</v>
      </c>
      <c r="I37" s="674">
        <v>22000</v>
      </c>
      <c r="J37" s="143">
        <v>4000</v>
      </c>
      <c r="K37" s="56"/>
      <c r="L37" s="56"/>
      <c r="M37" s="56"/>
      <c r="N37" s="56"/>
    </row>
    <row r="38" spans="1:14">
      <c r="A38" s="56"/>
      <c r="B38" s="121" t="s">
        <v>497</v>
      </c>
      <c r="C38" s="11"/>
      <c r="E38" s="135">
        <f>IF(E37,E37,E36)</f>
        <v>24250</v>
      </c>
      <c r="F38" s="135">
        <f>IF(F37,F37,F36)</f>
        <v>1993</v>
      </c>
      <c r="G38" s="135">
        <f>IF(G37,G37,G36)</f>
        <v>5210</v>
      </c>
      <c r="H38" s="135">
        <f>IF(H37,H37,H36)</f>
        <v>3500</v>
      </c>
      <c r="I38" s="135">
        <f t="shared" ref="I38:J38" si="6">IF(I37,I37,I36)</f>
        <v>22000</v>
      </c>
      <c r="J38" s="135">
        <f t="shared" si="6"/>
        <v>4000</v>
      </c>
      <c r="K38" s="56"/>
      <c r="L38" s="56"/>
      <c r="M38" s="56"/>
      <c r="N38" s="56"/>
    </row>
    <row r="39" spans="1:14">
      <c r="A39" s="56"/>
      <c r="B39" s="20"/>
      <c r="C39" s="20"/>
      <c r="E39" s="189"/>
      <c r="F39" s="189"/>
      <c r="G39" s="189"/>
      <c r="H39" s="189"/>
      <c r="I39" s="189"/>
      <c r="J39" s="189"/>
      <c r="K39" s="56"/>
      <c r="L39" s="56"/>
      <c r="M39" s="56"/>
      <c r="N39" s="56"/>
    </row>
    <row r="40" spans="1:14">
      <c r="A40" s="56"/>
      <c r="B40" s="326" t="s">
        <v>359</v>
      </c>
      <c r="C40" s="466"/>
      <c r="E40" s="467"/>
      <c r="F40" s="467"/>
      <c r="G40" s="467"/>
      <c r="H40" s="467"/>
      <c r="I40" s="467"/>
      <c r="J40" s="467"/>
      <c r="K40" s="56"/>
      <c r="L40" s="56"/>
      <c r="M40" s="56"/>
      <c r="N40" s="56"/>
    </row>
    <row r="41" spans="1:14">
      <c r="A41" s="56"/>
      <c r="B41" s="324" t="s">
        <v>498</v>
      </c>
      <c r="C41" s="463"/>
      <c r="E41" s="457"/>
      <c r="F41" s="457">
        <v>45747</v>
      </c>
      <c r="G41" s="457">
        <v>45291</v>
      </c>
      <c r="H41" s="457">
        <v>44742</v>
      </c>
      <c r="I41" s="457">
        <v>43646</v>
      </c>
      <c r="J41" s="457"/>
      <c r="K41" s="56"/>
      <c r="L41" s="56"/>
      <c r="M41" s="56"/>
      <c r="N41" s="56"/>
    </row>
    <row r="42" spans="1:14">
      <c r="A42" s="56"/>
      <c r="B42" s="339"/>
      <c r="C42" s="80"/>
      <c r="E42" s="468"/>
      <c r="F42" s="468"/>
      <c r="G42" s="468"/>
      <c r="H42" s="468"/>
      <c r="I42" s="468"/>
      <c r="J42" s="468"/>
      <c r="K42" s="56"/>
      <c r="L42" s="56"/>
      <c r="M42" s="56"/>
      <c r="N42" s="56"/>
    </row>
    <row r="43" spans="1:14">
      <c r="A43" s="56"/>
      <c r="B43" s="324" t="s">
        <v>499</v>
      </c>
      <c r="C43" s="469"/>
      <c r="E43" s="190"/>
      <c r="F43" s="143">
        <v>0.75900000000000001</v>
      </c>
      <c r="G43" s="143">
        <v>12</v>
      </c>
      <c r="H43" s="143">
        <v>14</v>
      </c>
      <c r="I43" s="143">
        <v>1150</v>
      </c>
      <c r="J43" s="190"/>
      <c r="K43" s="56"/>
      <c r="L43" s="56"/>
      <c r="M43" s="56"/>
      <c r="N43" s="56"/>
    </row>
    <row r="44" spans="1:14">
      <c r="A44" s="56"/>
      <c r="B44" s="324" t="s">
        <v>500</v>
      </c>
      <c r="C44" s="469"/>
      <c r="E44" s="190"/>
      <c r="F44" s="674">
        <v>531.98099999999999</v>
      </c>
      <c r="G44" s="143">
        <v>1248</v>
      </c>
      <c r="H44" s="143">
        <v>623</v>
      </c>
      <c r="I44" s="143">
        <v>15811</v>
      </c>
      <c r="J44" s="190"/>
      <c r="K44" s="56"/>
      <c r="L44" s="56"/>
      <c r="M44" s="56"/>
      <c r="N44" s="56"/>
    </row>
    <row r="45" spans="1:14">
      <c r="A45" s="56"/>
      <c r="B45" s="324" t="s">
        <v>501</v>
      </c>
      <c r="C45" s="469"/>
      <c r="E45" s="190"/>
      <c r="F45" s="143">
        <v>14.8</v>
      </c>
      <c r="G45" s="143">
        <v>17</v>
      </c>
      <c r="H45" s="190"/>
      <c r="I45" s="143">
        <v>2768</v>
      </c>
      <c r="J45" s="190"/>
      <c r="K45" s="56"/>
      <c r="L45" s="56"/>
      <c r="M45" s="56"/>
      <c r="N45" s="56"/>
    </row>
    <row r="46" spans="1:14">
      <c r="A46" s="56"/>
      <c r="B46" s="324" t="s">
        <v>55</v>
      </c>
      <c r="C46" s="469"/>
      <c r="E46" s="191"/>
      <c r="F46" s="191"/>
      <c r="G46" s="191"/>
      <c r="H46" s="271">
        <v>174</v>
      </c>
      <c r="I46" s="191"/>
      <c r="J46" s="191"/>
      <c r="K46" s="56"/>
      <c r="L46" s="56"/>
      <c r="M46" s="56"/>
      <c r="N46" s="56"/>
    </row>
    <row r="47" spans="1:14">
      <c r="A47" s="56"/>
      <c r="B47" s="324" t="s">
        <v>502</v>
      </c>
      <c r="C47" s="463"/>
      <c r="E47" s="127">
        <f>SUM(E43:E46)</f>
        <v>0</v>
      </c>
      <c r="F47" s="127">
        <f t="shared" ref="F47:J47" si="7">SUM(F43:F46)</f>
        <v>547.54</v>
      </c>
      <c r="G47" s="127">
        <f>SUM(G43:G46)</f>
        <v>1277</v>
      </c>
      <c r="H47" s="127">
        <f>SUM(H43:H46)</f>
        <v>811</v>
      </c>
      <c r="I47" s="127">
        <f t="shared" si="7"/>
        <v>19729</v>
      </c>
      <c r="J47" s="127">
        <f t="shared" si="7"/>
        <v>0</v>
      </c>
      <c r="K47" s="56"/>
      <c r="L47" s="56"/>
      <c r="M47" s="56"/>
      <c r="N47" s="56"/>
    </row>
    <row r="48" spans="1:14">
      <c r="A48" s="56"/>
      <c r="B48" s="324" t="s">
        <v>503</v>
      </c>
      <c r="C48" s="469"/>
      <c r="E48" s="271">
        <v>1550</v>
      </c>
      <c r="F48" s="271">
        <v>123.783</v>
      </c>
      <c r="G48" s="271">
        <v>170</v>
      </c>
      <c r="H48" s="271">
        <v>356</v>
      </c>
      <c r="I48" s="271">
        <v>544</v>
      </c>
      <c r="J48" s="191"/>
      <c r="K48" s="56"/>
      <c r="L48" s="56"/>
      <c r="M48" s="56"/>
      <c r="N48" s="56"/>
    </row>
    <row r="49" spans="1:14">
      <c r="A49" s="56"/>
      <c r="B49" s="324" t="s">
        <v>10</v>
      </c>
      <c r="C49" s="469"/>
      <c r="E49" s="127">
        <f>E47-E48</f>
        <v>-1550</v>
      </c>
      <c r="F49" s="127">
        <f t="shared" ref="F49:H49" si="8">F47-F48</f>
        <v>423.75699999999995</v>
      </c>
      <c r="G49" s="127">
        <f t="shared" si="8"/>
        <v>1107</v>
      </c>
      <c r="H49" s="127">
        <f t="shared" si="8"/>
        <v>455</v>
      </c>
      <c r="I49" s="127">
        <f>I47-I48</f>
        <v>19185</v>
      </c>
      <c r="J49" s="127">
        <f t="shared" ref="J49" si="9">J47-J48</f>
        <v>0</v>
      </c>
      <c r="K49" s="56"/>
      <c r="L49" s="56"/>
      <c r="M49" s="56"/>
      <c r="N49" s="56"/>
    </row>
    <row r="50" spans="1:14">
      <c r="A50" s="56"/>
      <c r="B50" s="336"/>
      <c r="C50" s="336"/>
      <c r="E50" s="127"/>
      <c r="F50" s="127"/>
      <c r="G50" s="127"/>
      <c r="H50" s="127"/>
      <c r="I50" s="127"/>
      <c r="J50" s="127"/>
      <c r="K50" s="56"/>
      <c r="L50" s="56"/>
      <c r="M50" s="56"/>
      <c r="N50" s="56"/>
    </row>
    <row r="51" spans="1:14">
      <c r="A51" s="56"/>
      <c r="B51" s="121" t="s">
        <v>504</v>
      </c>
      <c r="C51" s="11"/>
      <c r="E51" s="470">
        <f t="shared" ref="E51:J51" si="10">IFERROR(E38+E49, "NM")</f>
        <v>22700</v>
      </c>
      <c r="F51" s="470">
        <f t="shared" si="10"/>
        <v>2416.7570000000001</v>
      </c>
      <c r="G51" s="470">
        <f t="shared" si="10"/>
        <v>6317</v>
      </c>
      <c r="H51" s="470">
        <f t="shared" si="10"/>
        <v>3955</v>
      </c>
      <c r="I51" s="470">
        <f t="shared" si="10"/>
        <v>41185</v>
      </c>
      <c r="J51" s="470">
        <f t="shared" si="10"/>
        <v>4000</v>
      </c>
      <c r="K51" s="56"/>
      <c r="L51" s="56"/>
      <c r="M51" s="56"/>
      <c r="N51" s="56"/>
    </row>
    <row r="52" spans="1:14">
      <c r="A52" s="56"/>
      <c r="B52" s="11"/>
      <c r="C52" s="11"/>
      <c r="E52" s="471"/>
      <c r="F52" s="471"/>
      <c r="G52" s="471"/>
      <c r="H52" s="471"/>
      <c r="I52" s="471"/>
      <c r="J52" s="471"/>
      <c r="K52" s="56"/>
      <c r="L52" s="56"/>
      <c r="M52" s="56"/>
      <c r="N52" s="56"/>
    </row>
    <row r="53" spans="1:14">
      <c r="A53" s="56"/>
      <c r="B53" s="121" t="s">
        <v>630</v>
      </c>
      <c r="C53" s="56"/>
      <c r="E53" s="56"/>
      <c r="F53" s="56"/>
      <c r="G53" s="56"/>
      <c r="H53" s="56"/>
      <c r="I53" s="56"/>
      <c r="J53" s="56"/>
      <c r="K53" s="56"/>
      <c r="L53" s="56"/>
      <c r="M53" s="56"/>
      <c r="N53" s="56"/>
    </row>
    <row r="54" spans="1:14">
      <c r="A54" s="56"/>
      <c r="B54" s="56"/>
      <c r="C54" s="56"/>
      <c r="E54" s="56"/>
      <c r="F54" s="56"/>
      <c r="G54" s="56"/>
      <c r="H54" s="56"/>
      <c r="I54" s="56"/>
      <c r="J54" s="56"/>
      <c r="K54" s="56"/>
      <c r="L54" s="56"/>
      <c r="M54" s="56"/>
      <c r="N54" s="56"/>
    </row>
    <row r="55" spans="1:14">
      <c r="A55" s="56"/>
      <c r="B55" s="125" t="s">
        <v>2</v>
      </c>
      <c r="C55" s="56"/>
      <c r="E55" s="458" t="s">
        <v>487</v>
      </c>
      <c r="F55" s="127">
        <f>507.879*F$13</f>
        <v>528.19416000000001</v>
      </c>
      <c r="G55" s="143">
        <v>1189</v>
      </c>
      <c r="H55" s="143">
        <v>543</v>
      </c>
      <c r="I55" s="127">
        <f>4801+(9498-4730)</f>
        <v>9569</v>
      </c>
      <c r="J55" s="143">
        <v>100</v>
      </c>
      <c r="K55" s="56"/>
      <c r="L55" s="56"/>
      <c r="M55" s="56"/>
      <c r="N55" s="56"/>
    </row>
    <row r="56" spans="1:14">
      <c r="A56" s="56"/>
      <c r="B56" s="125" t="s">
        <v>3</v>
      </c>
      <c r="C56" s="56"/>
      <c r="E56" s="458" t="s">
        <v>487</v>
      </c>
      <c r="F56" s="666" t="s">
        <v>487</v>
      </c>
      <c r="G56" s="127">
        <f>1189.893-222.906</f>
        <v>966.98700000000008</v>
      </c>
      <c r="H56" s="127">
        <f>543.082-89.37</f>
        <v>453.71199999999999</v>
      </c>
      <c r="I56" s="127">
        <f>(4413-1514)+((8679-3005)-(4328-1530))</f>
        <v>5775</v>
      </c>
      <c r="J56" s="130" t="s">
        <v>487</v>
      </c>
      <c r="K56" s="56"/>
      <c r="L56" s="56"/>
      <c r="M56" s="56"/>
      <c r="N56" s="56"/>
    </row>
    <row r="57" spans="1:14">
      <c r="A57" s="56"/>
      <c r="B57" s="125" t="s">
        <v>7</v>
      </c>
      <c r="C57" s="56"/>
      <c r="E57" s="143">
        <v>2670.5880000000002</v>
      </c>
      <c r="F57" s="127">
        <f>189.08*F$13</f>
        <v>196.64320000000001</v>
      </c>
      <c r="G57" s="172">
        <v>252</v>
      </c>
      <c r="H57" s="172">
        <v>203</v>
      </c>
      <c r="I57" s="127">
        <f>1491+(2904-1391)</f>
        <v>3004</v>
      </c>
      <c r="J57" s="666" t="s">
        <v>487</v>
      </c>
      <c r="K57" s="56"/>
      <c r="L57" s="56"/>
      <c r="M57" s="56"/>
      <c r="N57" s="56"/>
    </row>
    <row r="58" spans="1:14">
      <c r="A58" s="56"/>
      <c r="B58" s="125" t="s">
        <v>20</v>
      </c>
      <c r="C58" s="56"/>
      <c r="E58" s="666" t="s">
        <v>487</v>
      </c>
      <c r="F58" s="127">
        <f>134.665*F$13</f>
        <v>140.05160000000001</v>
      </c>
      <c r="G58" s="671">
        <v>14.946999999999999</v>
      </c>
      <c r="H58" s="472">
        <v>66</v>
      </c>
      <c r="I58" s="127">
        <f>567+(1895-886)</f>
        <v>1576</v>
      </c>
      <c r="J58" s="666" t="s">
        <v>487</v>
      </c>
      <c r="K58" s="56"/>
      <c r="L58" s="56"/>
      <c r="M58" s="56"/>
      <c r="N58" s="56"/>
    </row>
    <row r="59" spans="1:14">
      <c r="A59" s="56"/>
      <c r="B59" s="125" t="s">
        <v>97</v>
      </c>
      <c r="C59" s="56"/>
      <c r="E59" s="666" t="s">
        <v>487</v>
      </c>
      <c r="F59" s="127">
        <f>93.568*F$13</f>
        <v>97.310720000000003</v>
      </c>
      <c r="G59" s="172">
        <v>-0.69599999999999995</v>
      </c>
      <c r="H59" s="472">
        <v>20</v>
      </c>
      <c r="I59" s="127">
        <f>444+(1005-442)</f>
        <v>1007</v>
      </c>
      <c r="J59" s="666" t="s">
        <v>487</v>
      </c>
      <c r="K59" s="56"/>
      <c r="L59" s="56"/>
      <c r="M59" s="56"/>
      <c r="N59" s="56"/>
    </row>
    <row r="60" spans="1:14">
      <c r="A60" s="56"/>
      <c r="B60" s="20"/>
      <c r="C60" s="20"/>
      <c r="E60" s="188"/>
      <c r="F60" s="188"/>
      <c r="G60" s="188"/>
      <c r="H60" s="188"/>
      <c r="I60" s="143"/>
      <c r="J60" s="188"/>
      <c r="K60" s="56"/>
      <c r="L60" s="56"/>
      <c r="M60" s="56"/>
      <c r="N60" s="56"/>
    </row>
    <row r="61" spans="1:14">
      <c r="A61" s="56"/>
      <c r="B61" s="121" t="s">
        <v>631</v>
      </c>
      <c r="C61" s="56"/>
      <c r="E61" s="56"/>
      <c r="F61" s="56"/>
      <c r="G61" s="56"/>
      <c r="H61" s="56"/>
      <c r="I61" s="56"/>
      <c r="J61" s="56"/>
      <c r="K61" s="56"/>
      <c r="L61" s="56"/>
      <c r="M61" s="56"/>
      <c r="N61" s="56"/>
    </row>
    <row r="62" spans="1:14">
      <c r="A62" s="56"/>
      <c r="B62" s="56"/>
      <c r="C62" s="56"/>
      <c r="E62" s="56"/>
      <c r="F62" s="56"/>
      <c r="G62" s="56"/>
      <c r="H62" s="56"/>
      <c r="I62" s="56"/>
      <c r="J62" s="56"/>
      <c r="K62" s="56"/>
      <c r="L62" s="56"/>
      <c r="M62" s="56"/>
      <c r="N62" s="56"/>
    </row>
    <row r="63" spans="1:14">
      <c r="A63" s="56"/>
      <c r="B63" s="125" t="s">
        <v>482</v>
      </c>
      <c r="C63" s="56"/>
      <c r="E63" s="672" t="str">
        <f>IFERROR(E51/E55,"ND")</f>
        <v>ND</v>
      </c>
      <c r="F63" s="274">
        <f t="shared" ref="F63:J63" si="11">IFERROR(F51/F55,"ND")</f>
        <v>4.5755087485253529</v>
      </c>
      <c r="G63" s="672">
        <f>IFERROR(G51/G55,"ND")</f>
        <v>5.3128679562657695</v>
      </c>
      <c r="H63" s="672">
        <f>IFERROR(H51/H55,"ND")</f>
        <v>7.2836095764272564</v>
      </c>
      <c r="I63" s="274">
        <f t="shared" si="11"/>
        <v>4.30400250809907</v>
      </c>
      <c r="J63" s="274">
        <f t="shared" si="11"/>
        <v>40</v>
      </c>
      <c r="K63" s="56"/>
      <c r="L63" s="56"/>
      <c r="M63" s="56"/>
      <c r="N63" s="56"/>
    </row>
    <row r="64" spans="1:14">
      <c r="A64" s="56"/>
      <c r="B64" s="125" t="s">
        <v>547</v>
      </c>
      <c r="C64" s="56"/>
      <c r="E64" s="274" t="str">
        <f>IFERROR(E51/E56,"ND")</f>
        <v>ND</v>
      </c>
      <c r="F64" s="274" t="str">
        <f t="shared" ref="F64:J64" si="12">IFERROR(F51/F56,"ND")</f>
        <v>ND</v>
      </c>
      <c r="G64" s="274">
        <f t="shared" si="12"/>
        <v>6.532662796914539</v>
      </c>
      <c r="H64" s="274">
        <f t="shared" si="12"/>
        <v>8.716983460873859</v>
      </c>
      <c r="I64" s="274">
        <f t="shared" si="12"/>
        <v>7.1316017316017319</v>
      </c>
      <c r="J64" s="274" t="str">
        <f t="shared" si="12"/>
        <v>ND</v>
      </c>
      <c r="K64" s="56"/>
      <c r="L64" s="56"/>
      <c r="M64" s="56"/>
      <c r="N64" s="56"/>
    </row>
    <row r="65" spans="1:14">
      <c r="A65" s="56"/>
      <c r="B65" s="125" t="s">
        <v>436</v>
      </c>
      <c r="C65" s="56"/>
      <c r="E65" s="274">
        <f>IFERROR(E51/E57,"ND")</f>
        <v>8.5000007488987439</v>
      </c>
      <c r="F65" s="274">
        <f t="shared" ref="F65:I65" si="13">IFERROR(F51/F57,"ND")</f>
        <v>12.290061390376072</v>
      </c>
      <c r="G65" s="274">
        <f t="shared" si="13"/>
        <v>25.067460317460316</v>
      </c>
      <c r="H65" s="274">
        <f t="shared" si="13"/>
        <v>19.482758620689655</v>
      </c>
      <c r="I65" s="274">
        <f t="shared" si="13"/>
        <v>13.710053262316912</v>
      </c>
      <c r="J65" s="672" t="str">
        <f>IFERROR(J51/J57,"ND")</f>
        <v>ND</v>
      </c>
      <c r="K65" s="56"/>
      <c r="L65" s="56"/>
      <c r="M65" s="56"/>
      <c r="N65" s="56"/>
    </row>
    <row r="66" spans="1:14">
      <c r="A66" s="56"/>
      <c r="B66" s="125" t="s">
        <v>312</v>
      </c>
      <c r="C66" s="56"/>
      <c r="E66" s="672" t="str">
        <f>IFERROR(IF(E51/E58&lt;30,E51/E58,"NM"),"ND")</f>
        <v>ND</v>
      </c>
      <c r="F66" s="672">
        <f>IFERROR(F51/F58,"ND")</f>
        <v>17.256189861451066</v>
      </c>
      <c r="G66" s="672">
        <f>IFERROR(G51/G58,"ND")</f>
        <v>422.62661403626146</v>
      </c>
      <c r="H66" s="274">
        <f t="shared" ref="H66:I66" si="14">IFERROR(H51/H58,"ND")</f>
        <v>59.924242424242422</v>
      </c>
      <c r="I66" s="274">
        <f t="shared" si="14"/>
        <v>26.132614213197968</v>
      </c>
      <c r="J66" s="672" t="str">
        <f>IFERROR(J51/J58,"ND")</f>
        <v>ND</v>
      </c>
      <c r="K66" s="56"/>
      <c r="L66" s="56"/>
      <c r="M66" s="56"/>
      <c r="N66" s="56"/>
    </row>
    <row r="67" spans="1:14">
      <c r="A67" s="56"/>
      <c r="B67" s="56"/>
      <c r="C67" s="56"/>
      <c r="E67" s="56"/>
      <c r="F67" s="56"/>
      <c r="G67" s="56"/>
      <c r="H67" s="56"/>
      <c r="I67" s="56"/>
      <c r="J67" s="56"/>
      <c r="K67" s="56"/>
      <c r="L67" s="56"/>
      <c r="M67" s="56"/>
      <c r="N67" s="56"/>
    </row>
    <row r="68" spans="1:14">
      <c r="A68" s="56"/>
      <c r="B68" s="121" t="s">
        <v>632</v>
      </c>
      <c r="C68" s="56"/>
      <c r="E68" s="56"/>
      <c r="F68" s="56"/>
      <c r="G68" s="56"/>
      <c r="H68" s="56"/>
      <c r="I68" s="56"/>
      <c r="J68" s="56"/>
      <c r="K68" s="56"/>
      <c r="L68" s="56"/>
      <c r="M68" s="56"/>
      <c r="N68" s="56"/>
    </row>
    <row r="69" spans="1:14">
      <c r="A69" s="56"/>
      <c r="B69" s="125" t="s">
        <v>490</v>
      </c>
      <c r="C69" s="56"/>
      <c r="E69" s="673" t="str">
        <f>IFERROR(E57/E55,"ND")</f>
        <v>ND</v>
      </c>
      <c r="F69" s="193">
        <f>F57/F55</f>
        <v>0.37229340059344845</v>
      </c>
      <c r="G69" s="673">
        <f>IFERROR(G57/G55,"NM")</f>
        <v>0.21194280908326324</v>
      </c>
      <c r="H69" s="673">
        <f>IFERROR(H57/H55,"NM")</f>
        <v>0.37384898710865561</v>
      </c>
      <c r="I69" s="193">
        <f>I57/I55</f>
        <v>0.31393040025080993</v>
      </c>
      <c r="J69" s="673" t="str">
        <f>IFERROR(J57/J55,"NM")</f>
        <v>NM</v>
      </c>
      <c r="K69" s="56"/>
      <c r="L69" s="56"/>
      <c r="M69" s="56"/>
      <c r="N69" s="56"/>
    </row>
    <row r="70" spans="1:14">
      <c r="A70" s="56"/>
      <c r="B70" s="125" t="s">
        <v>491</v>
      </c>
      <c r="C70" s="56"/>
      <c r="E70" s="666" t="s">
        <v>487</v>
      </c>
      <c r="F70" s="194">
        <v>0.20200000000000001</v>
      </c>
      <c r="G70" s="194">
        <v>0.41089999999999999</v>
      </c>
      <c r="H70" s="194">
        <v>9.2999999999999999E-2</v>
      </c>
      <c r="I70" s="194">
        <v>6.7000000000000004E-2</v>
      </c>
      <c r="J70" s="194">
        <v>1</v>
      </c>
      <c r="K70" s="56"/>
      <c r="L70" s="56"/>
      <c r="M70" s="56"/>
      <c r="N70" s="56"/>
    </row>
    <row r="71" spans="1:14">
      <c r="A71" s="56"/>
      <c r="B71" s="20"/>
      <c r="C71" s="20"/>
      <c r="E71" s="188"/>
      <c r="F71" s="188"/>
      <c r="G71" s="188"/>
      <c r="H71" s="188"/>
      <c r="I71" s="188"/>
      <c r="J71" s="143"/>
      <c r="K71" s="56"/>
      <c r="L71" s="56"/>
      <c r="M71" s="56"/>
      <c r="N71" s="56"/>
    </row>
    <row r="72" spans="1:14">
      <c r="A72" s="56"/>
      <c r="B72" s="121" t="s">
        <v>633</v>
      </c>
      <c r="C72" s="20"/>
      <c r="E72" s="188"/>
      <c r="F72" s="188"/>
      <c r="G72" s="188"/>
      <c r="H72" s="188"/>
      <c r="I72" s="188"/>
      <c r="J72" s="143"/>
      <c r="K72" s="56"/>
      <c r="L72" s="56"/>
      <c r="M72" s="56"/>
      <c r="N72" s="56"/>
    </row>
    <row r="73" spans="1:14">
      <c r="A73" s="56"/>
      <c r="B73" s="56"/>
      <c r="C73" s="20"/>
      <c r="E73" s="691" t="s">
        <v>482</v>
      </c>
      <c r="F73" s="691" t="s">
        <v>544</v>
      </c>
      <c r="G73" s="691" t="s">
        <v>436</v>
      </c>
      <c r="H73" s="691" t="s">
        <v>312</v>
      </c>
      <c r="I73" s="691" t="s">
        <v>107</v>
      </c>
      <c r="J73" s="691" t="s">
        <v>549</v>
      </c>
      <c r="K73" s="56"/>
      <c r="L73" s="56"/>
      <c r="M73" s="56"/>
      <c r="N73" s="56"/>
    </row>
    <row r="74" spans="1:14">
      <c r="A74" s="56"/>
      <c r="B74" s="125" t="s">
        <v>428</v>
      </c>
      <c r="C74" s="20"/>
      <c r="E74" s="342">
        <f>MAX(E63:H63,I63)</f>
        <v>7.2836095764272564</v>
      </c>
      <c r="F74" s="342">
        <f>MAX(E64:H64,I64:J64)</f>
        <v>8.716983460873859</v>
      </c>
      <c r="G74" s="342">
        <f>MAX(E65:H65,I65:J65)</f>
        <v>25.067460317460316</v>
      </c>
      <c r="H74" s="342">
        <f>MAX(E66:F66,I66:J66)</f>
        <v>26.132614213197968</v>
      </c>
      <c r="I74" s="680">
        <f>MAX(E69:J69)</f>
        <v>0.37384898710865561</v>
      </c>
      <c r="J74" s="680">
        <f>MAX(E70:J70)</f>
        <v>1</v>
      </c>
      <c r="K74" s="56"/>
      <c r="L74" s="56"/>
      <c r="M74" s="56"/>
      <c r="N74" s="56"/>
    </row>
    <row r="75" spans="1:14">
      <c r="A75" s="56"/>
      <c r="B75" s="125" t="s">
        <v>545</v>
      </c>
      <c r="C75" s="20"/>
      <c r="E75" s="342">
        <f>AVERAGE(E63:H63,I63)</f>
        <v>5.3689971973293629</v>
      </c>
      <c r="F75" s="342">
        <f>AVERAGE(E64:H64,I64:J64)</f>
        <v>7.4604159964633778</v>
      </c>
      <c r="G75" s="342">
        <f>AVERAGE(E65:H65,I65:J65)</f>
        <v>15.810066867948342</v>
      </c>
      <c r="H75" s="342">
        <f>AVERAGE(E66:F66,I66:J66)</f>
        <v>21.694402037324515</v>
      </c>
      <c r="I75" s="680">
        <f>AVERAGE(E69:J69)</f>
        <v>0.31800389925904432</v>
      </c>
      <c r="J75" s="680">
        <f>AVERAGE(E70:J70)</f>
        <v>0.35458000000000001</v>
      </c>
      <c r="K75" s="56"/>
      <c r="L75" s="56"/>
      <c r="M75" s="56"/>
      <c r="N75" s="56"/>
    </row>
    <row r="76" spans="1:14">
      <c r="A76" s="56"/>
      <c r="B76" s="125" t="s">
        <v>546</v>
      </c>
      <c r="C76" s="20"/>
      <c r="E76" s="342">
        <f>MEDIAN(E63:H63,I63)</f>
        <v>4.9441883523955612</v>
      </c>
      <c r="F76" s="342">
        <f>MEDIAN(E64:H64,I64:J64)</f>
        <v>7.1316017316017319</v>
      </c>
      <c r="G76" s="342">
        <f>MEDIAN(E65:H65,I65:J65)</f>
        <v>13.710053262316912</v>
      </c>
      <c r="H76" s="342">
        <f>MEDIAN(E66:F66,I66:J66)</f>
        <v>21.694402037324515</v>
      </c>
      <c r="I76" s="680">
        <f>MEDIAN(E69:J69)</f>
        <v>0.34311190042212919</v>
      </c>
      <c r="J76" s="680">
        <f>MEDIAN(E70:J70)</f>
        <v>0.20200000000000001</v>
      </c>
      <c r="K76" s="56"/>
      <c r="L76" s="56"/>
      <c r="M76" s="56"/>
      <c r="N76" s="56"/>
    </row>
    <row r="77" spans="1:14">
      <c r="A77" s="56"/>
      <c r="B77" s="125" t="s">
        <v>426</v>
      </c>
      <c r="C77" s="20"/>
      <c r="E77" s="342">
        <f>MIN(E63:H63,I63)</f>
        <v>4.30400250809907</v>
      </c>
      <c r="F77" s="342">
        <f>MIN(E64:H64,I64:J64)</f>
        <v>6.532662796914539</v>
      </c>
      <c r="G77" s="342">
        <f>MIN(E65:J65)</f>
        <v>8.5000007488987439</v>
      </c>
      <c r="H77" s="342">
        <f>MIN(E66:F66,I66:J66)</f>
        <v>17.256189861451066</v>
      </c>
      <c r="I77" s="680">
        <f>MIN(E69:J69)</f>
        <v>0.21194280908326324</v>
      </c>
      <c r="J77" s="680">
        <f>MIN(E70:J70)</f>
        <v>6.7000000000000004E-2</v>
      </c>
      <c r="K77" s="56"/>
      <c r="L77" s="56"/>
      <c r="M77" s="56"/>
      <c r="N77" s="56"/>
    </row>
    <row r="78" spans="1:14">
      <c r="A78" s="56"/>
      <c r="B78" s="56"/>
      <c r="C78" s="56"/>
      <c r="E78" s="56"/>
      <c r="F78" s="56"/>
      <c r="G78" s="56"/>
      <c r="H78" s="56"/>
      <c r="I78" s="56"/>
      <c r="J78" s="56"/>
      <c r="K78" s="56"/>
      <c r="L78" s="56"/>
      <c r="M78" s="56"/>
      <c r="N78" s="56"/>
    </row>
    <row r="79" spans="1:14">
      <c r="A79" s="56"/>
      <c r="B79" s="121" t="s">
        <v>564</v>
      </c>
      <c r="C79" s="56"/>
      <c r="E79" s="56"/>
      <c r="F79" s="336"/>
      <c r="G79" s="79"/>
      <c r="H79" s="56"/>
      <c r="I79" s="56"/>
      <c r="J79" s="56"/>
      <c r="K79" s="56"/>
      <c r="L79" s="56"/>
      <c r="M79" s="56"/>
      <c r="N79" s="56"/>
    </row>
    <row r="80" spans="1:14" ht="15.6">
      <c r="A80" s="56"/>
      <c r="B80" s="56"/>
      <c r="C80" s="56"/>
      <c r="E80" s="476" t="s">
        <v>545</v>
      </c>
      <c r="F80" s="476" t="s">
        <v>546</v>
      </c>
      <c r="G80" s="447"/>
      <c r="H80" s="56"/>
      <c r="I80" s="56"/>
      <c r="J80" s="56"/>
      <c r="K80" s="56"/>
      <c r="L80" s="56"/>
      <c r="M80" s="56"/>
      <c r="N80" s="56"/>
    </row>
    <row r="81" spans="1:14">
      <c r="A81" s="56"/>
      <c r="B81" s="125" t="s">
        <v>556</v>
      </c>
      <c r="C81" s="56"/>
      <c r="E81" s="342">
        <f>G75</f>
        <v>15.810066867948342</v>
      </c>
      <c r="F81" s="342">
        <f>G76</f>
        <v>13.710053262316912</v>
      </c>
      <c r="G81" s="448"/>
      <c r="H81" s="56"/>
      <c r="I81" s="56"/>
      <c r="J81" s="56"/>
      <c r="K81" s="56"/>
      <c r="L81" s="56"/>
      <c r="M81" s="56"/>
      <c r="N81" s="56"/>
    </row>
    <row r="82" spans="1:14">
      <c r="A82" s="56"/>
      <c r="B82" s="125" t="s">
        <v>30</v>
      </c>
      <c r="C82" s="56"/>
      <c r="E82" s="449">
        <f>Assumptions!J74</f>
        <v>6752</v>
      </c>
      <c r="F82" s="449">
        <f>Assumptions!J74</f>
        <v>6752</v>
      </c>
      <c r="G82" s="149"/>
      <c r="H82" s="56"/>
      <c r="I82" s="56"/>
      <c r="J82" s="56"/>
      <c r="K82" s="56"/>
      <c r="L82" s="56"/>
      <c r="M82" s="56"/>
      <c r="N82" s="56"/>
    </row>
    <row r="83" spans="1:14">
      <c r="A83" s="56"/>
      <c r="B83" s="125" t="s">
        <v>557</v>
      </c>
      <c r="C83" s="56"/>
      <c r="E83" s="278">
        <f>E81*E82</f>
        <v>106749.5714923872</v>
      </c>
      <c r="F83" s="278">
        <f>F81*F82</f>
        <v>92570.279627163793</v>
      </c>
      <c r="G83" s="76"/>
      <c r="H83" s="56"/>
      <c r="I83" s="56"/>
      <c r="J83" s="56"/>
      <c r="K83" s="56"/>
      <c r="L83" s="56"/>
      <c r="M83" s="56"/>
      <c r="N83" s="56"/>
    </row>
    <row r="84" spans="1:14">
      <c r="A84" s="56"/>
      <c r="B84" s="125" t="s">
        <v>560</v>
      </c>
      <c r="C84" s="56"/>
      <c r="E84" s="477">
        <f>DCF!$C$85</f>
        <v>-3369</v>
      </c>
      <c r="F84" s="477">
        <f>DCF!$C$85</f>
        <v>-3369</v>
      </c>
      <c r="G84" s="76"/>
      <c r="H84" s="56"/>
      <c r="I84" s="56"/>
      <c r="J84" s="56"/>
      <c r="K84" s="56"/>
      <c r="L84" s="56"/>
      <c r="M84" s="56"/>
      <c r="N84" s="56"/>
    </row>
    <row r="85" spans="1:14">
      <c r="A85" s="56"/>
      <c r="B85" s="125" t="s">
        <v>360</v>
      </c>
      <c r="C85" s="56"/>
      <c r="E85" s="278">
        <f>E83-E84</f>
        <v>110118.5714923872</v>
      </c>
      <c r="F85" s="278">
        <f>F83-F84</f>
        <v>95939.279627163793</v>
      </c>
      <c r="G85" s="76"/>
      <c r="H85" s="56"/>
      <c r="I85" s="56"/>
      <c r="J85" s="56"/>
      <c r="K85" s="56"/>
      <c r="L85" s="56"/>
      <c r="M85" s="56"/>
      <c r="N85" s="56"/>
    </row>
    <row r="86" spans="1:14">
      <c r="A86" s="56"/>
      <c r="B86" s="125" t="s">
        <v>434</v>
      </c>
      <c r="C86" s="56"/>
      <c r="E86" s="275">
        <f>Assumptions!$N$9+Assumptions!$N$11</f>
        <v>952.42099999999994</v>
      </c>
      <c r="F86" s="275">
        <f>Assumptions!$N$9+Assumptions!$N$11</f>
        <v>952.42099999999994</v>
      </c>
      <c r="G86" s="451"/>
      <c r="H86" s="56"/>
      <c r="I86" s="56"/>
      <c r="J86" s="56"/>
      <c r="K86" s="56"/>
      <c r="L86" s="56"/>
      <c r="M86" s="56"/>
      <c r="N86" s="56"/>
    </row>
    <row r="87" spans="1:14">
      <c r="A87" s="56"/>
      <c r="B87" s="121" t="s">
        <v>396</v>
      </c>
      <c r="C87" s="336"/>
      <c r="E87" s="478">
        <f>E85/E86</f>
        <v>115.61963826121769</v>
      </c>
      <c r="F87" s="478">
        <f>F85/F86</f>
        <v>100.73200782759284</v>
      </c>
      <c r="G87" s="56"/>
      <c r="H87" s="56"/>
      <c r="I87" s="56"/>
      <c r="J87" s="56"/>
      <c r="K87" s="56"/>
      <c r="L87" s="56"/>
      <c r="M87" s="56"/>
      <c r="N87" s="56"/>
    </row>
    <row r="88" spans="1:14">
      <c r="A88" s="56"/>
      <c r="B88" s="95"/>
      <c r="C88" s="95"/>
      <c r="D88" s="63"/>
      <c r="E88" s="95"/>
      <c r="F88" s="95"/>
      <c r="G88" s="95"/>
      <c r="H88" s="95"/>
      <c r="I88" s="95"/>
      <c r="J88" s="95"/>
      <c r="K88" s="56"/>
      <c r="L88" s="56"/>
      <c r="M88" s="56"/>
      <c r="N88" s="56"/>
    </row>
    <row r="89" spans="1:14">
      <c r="A89" s="56"/>
    </row>
    <row r="90" spans="1:14">
      <c r="A90" s="56"/>
    </row>
    <row r="91" spans="1:14">
      <c r="A91" s="56"/>
    </row>
    <row r="92" spans="1:14">
      <c r="A92" s="56"/>
    </row>
    <row r="93" spans="1:14">
      <c r="A93" s="56"/>
    </row>
    <row r="94" spans="1:14">
      <c r="A94" s="56"/>
    </row>
    <row r="95" spans="1:14">
      <c r="A95" s="56"/>
    </row>
    <row r="96" spans="1:14">
      <c r="A96" s="56"/>
    </row>
    <row r="97" spans="1:1">
      <c r="A97" s="56"/>
    </row>
    <row r="98" spans="1:1">
      <c r="A98" s="56"/>
    </row>
    <row r="99" spans="1:1">
      <c r="A99" s="56"/>
    </row>
    <row r="100" spans="1:1">
      <c r="A100" s="56"/>
    </row>
    <row r="101" spans="1:1">
      <c r="A101" s="56"/>
    </row>
    <row r="102" spans="1:1">
      <c r="A102" s="56"/>
    </row>
    <row r="103" spans="1:1">
      <c r="A103" s="56"/>
    </row>
    <row r="104" spans="1:1">
      <c r="A104" s="56"/>
    </row>
    <row r="105" spans="1:1">
      <c r="A105" s="56"/>
    </row>
    <row r="106" spans="1:1">
      <c r="A106" s="56"/>
    </row>
    <row r="107" spans="1:1">
      <c r="A107" s="56"/>
    </row>
    <row r="108" spans="1:1">
      <c r="A108" s="56"/>
    </row>
    <row r="109" spans="1:1">
      <c r="A109" s="56"/>
    </row>
    <row r="110" spans="1:1">
      <c r="A110" s="56"/>
    </row>
    <row r="111" spans="1:1">
      <c r="A111" s="56"/>
    </row>
    <row r="112" spans="1:1">
      <c r="A112" s="56"/>
    </row>
    <row r="113" spans="1:1">
      <c r="A113" s="56"/>
    </row>
    <row r="114" spans="1:1">
      <c r="A114" s="56"/>
    </row>
    <row r="115" spans="1:1">
      <c r="A115" s="56"/>
    </row>
    <row r="116" spans="1:1">
      <c r="A116" s="56"/>
    </row>
    <row r="117" spans="1:1">
      <c r="A117" s="56"/>
    </row>
    <row r="118" spans="1:1">
      <c r="A118" s="56"/>
    </row>
    <row r="119" spans="1:1">
      <c r="A119" s="56"/>
    </row>
    <row r="120" spans="1:1">
      <c r="A120" s="56"/>
    </row>
    <row r="121" spans="1:1">
      <c r="A121" s="56"/>
    </row>
    <row r="122" spans="1:1">
      <c r="A122" s="56"/>
    </row>
    <row r="123" spans="1:1">
      <c r="A123" s="56"/>
    </row>
    <row r="124" spans="1:1">
      <c r="A124" s="56"/>
    </row>
    <row r="125" spans="1:1">
      <c r="A125" s="56"/>
    </row>
    <row r="126" spans="1:1">
      <c r="A126" s="56"/>
    </row>
    <row r="127" spans="1:1">
      <c r="A127" s="56"/>
    </row>
    <row r="128" spans="1:1">
      <c r="A128" s="56"/>
    </row>
    <row r="129" spans="1:1">
      <c r="A129" s="56"/>
    </row>
    <row r="130" spans="1:1">
      <c r="A130" s="56"/>
    </row>
    <row r="131" spans="1:1">
      <c r="A131" s="56"/>
    </row>
    <row r="132" spans="1:1">
      <c r="A132" s="56"/>
    </row>
    <row r="133" spans="1:1">
      <c r="A133" s="56"/>
    </row>
    <row r="134" spans="1:1">
      <c r="A134" s="56"/>
    </row>
    <row r="135" spans="1:1">
      <c r="A135" s="56"/>
    </row>
    <row r="136" spans="1:1">
      <c r="A136" s="56"/>
    </row>
    <row r="137" spans="1:1">
      <c r="A137" s="56"/>
    </row>
    <row r="138" spans="1:1">
      <c r="A138" s="56"/>
    </row>
    <row r="139" spans="1:1">
      <c r="A139" s="56"/>
    </row>
    <row r="140" spans="1:1">
      <c r="A140" s="56"/>
    </row>
    <row r="141" spans="1:1">
      <c r="A141" s="56"/>
    </row>
    <row r="142" spans="1:1">
      <c r="A142" s="56"/>
    </row>
    <row r="143" spans="1:1">
      <c r="A143" s="56"/>
    </row>
    <row r="144" spans="1:1">
      <c r="A144" s="56"/>
    </row>
    <row r="145" spans="1:1">
      <c r="A145" s="56"/>
    </row>
    <row r="146" spans="1:1">
      <c r="A146" s="56"/>
    </row>
    <row r="147" spans="1:1">
      <c r="A147" s="56"/>
    </row>
    <row r="148" spans="1:1">
      <c r="A148" s="56"/>
    </row>
    <row r="149" spans="1:1">
      <c r="A149" s="56"/>
    </row>
    <row r="150" spans="1:1">
      <c r="A150" s="56"/>
    </row>
    <row r="151" spans="1:1">
      <c r="A151" s="56"/>
    </row>
    <row r="152" spans="1:1">
      <c r="A152" s="56"/>
    </row>
    <row r="153" spans="1:1">
      <c r="A153" s="56"/>
    </row>
    <row r="154" spans="1:1">
      <c r="A154" s="56"/>
    </row>
    <row r="155" spans="1:1">
      <c r="A155" s="56"/>
    </row>
    <row r="156" spans="1:1">
      <c r="A156" s="56"/>
    </row>
    <row r="157" spans="1:1">
      <c r="A157" s="56"/>
    </row>
    <row r="158" spans="1:1">
      <c r="A158" s="56"/>
    </row>
    <row r="159" spans="1:1">
      <c r="A159" s="56"/>
    </row>
    <row r="160" spans="1:1">
      <c r="A160" s="56"/>
    </row>
    <row r="161" spans="1:1">
      <c r="A161" s="56"/>
    </row>
  </sheetData>
  <printOptions horizontalCentered="1"/>
  <pageMargins left="0.7" right="0.7" top="0.75" bottom="0.75" header="0.3" footer="0.3"/>
  <pageSetup scale="78" fitToHeight="0" orientation="landscape" r:id="rId1"/>
  <headerFooter differentOddEven="1">
    <oddFooter>&amp;L&amp;"Arial"&amp;8Tyler Spencer&amp;C&amp;"Arial"&amp;8&amp;INot associated with PayPal. For educational purposes only.&amp;R&amp;"Arial"&amp;8Page &amp;P</oddFooter>
    <evenFooter>&amp;L&amp;"Arial"&amp;8Tyler Spencer&amp;C&amp;"Arial"&amp;8&amp;INot associated with PayPal. For educational purposes only.&amp;R&amp;"Arial"&amp;8Page &amp;P</evenFooter>
  </headerFooter>
  <rowBreaks count="2" manualBreakCount="2">
    <brk id="38" max="16383" man="1"/>
    <brk id="77" max="16383" man="1"/>
  </row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4BB99-9577-411B-8AD7-1B6024F42085}">
  <sheetPr>
    <pageSetUpPr fitToPage="1"/>
  </sheetPr>
  <dimension ref="B1:J189"/>
  <sheetViews>
    <sheetView workbookViewId="0">
      <selection activeCell="I9" sqref="I9"/>
    </sheetView>
  </sheetViews>
  <sheetFormatPr defaultColWidth="8.88671875" defaultRowHeight="13.8"/>
  <cols>
    <col min="1" max="1" width="2.6640625" style="55" customWidth="1"/>
    <col min="2" max="2" width="17.33203125" style="55" customWidth="1"/>
    <col min="3" max="4" width="12.109375" style="55" customWidth="1"/>
    <col min="5" max="9" width="12.33203125" style="55" customWidth="1"/>
    <col min="10" max="10" width="14.88671875" style="55" customWidth="1"/>
    <col min="11" max="16384" width="8.88671875" style="55"/>
  </cols>
  <sheetData>
    <row r="1" spans="2:10" s="56" customFormat="1" ht="14.4">
      <c r="H1"/>
      <c r="I1" s="218"/>
      <c r="J1" s="725" t="str">
        <f>"CURRENTLY RUNNING: "&amp;UPPER(CHOOSE(Scenarios!$C$6,Scenarios!B10,Scenarios!B11,Scenarios!B12))&amp;" SCENARIO"</f>
        <v>CURRENTLY RUNNING: BASE CASE SCENARIO</v>
      </c>
    </row>
    <row r="2" spans="2:10" ht="22.8">
      <c r="B2" s="201" t="str">
        <f>Cover!B7</f>
        <v>PayPal</v>
      </c>
      <c r="C2" s="58"/>
      <c r="D2" s="58"/>
      <c r="E2" s="58"/>
      <c r="F2" s="58"/>
      <c r="G2" s="58"/>
      <c r="H2" s="58"/>
      <c r="I2" s="58"/>
      <c r="J2" s="58"/>
    </row>
    <row r="3" spans="2:10" ht="18" thickBot="1">
      <c r="B3" s="219" t="s">
        <v>88</v>
      </c>
      <c r="C3" s="68"/>
      <c r="D3" s="68"/>
      <c r="E3" s="68"/>
      <c r="F3" s="68"/>
      <c r="G3" s="68"/>
      <c r="H3" s="68"/>
      <c r="I3" s="68"/>
      <c r="J3" s="68"/>
    </row>
    <row r="4" spans="2:10" s="56" customFormat="1" ht="13.2">
      <c r="B4" s="220" t="s">
        <v>93</v>
      </c>
    </row>
    <row r="5" spans="2:10" s="56" customFormat="1" ht="13.2">
      <c r="B5" s="479"/>
    </row>
    <row r="6" spans="2:10" s="56" customFormat="1" ht="13.2">
      <c r="B6" s="480" t="s">
        <v>335</v>
      </c>
      <c r="C6" s="481"/>
      <c r="D6" s="481"/>
      <c r="E6" s="482"/>
    </row>
    <row r="7" spans="2:10" s="56" customFormat="1" ht="3.6" customHeight="1">
      <c r="B7" s="483"/>
      <c r="C7" s="757"/>
      <c r="D7" s="757"/>
      <c r="E7" s="484"/>
    </row>
    <row r="8" spans="2:10" s="56" customFormat="1" ht="13.2">
      <c r="B8" s="198" t="s">
        <v>338</v>
      </c>
      <c r="E8" s="697">
        <f>Assumptions!N8</f>
        <v>46208</v>
      </c>
    </row>
    <row r="9" spans="2:10" s="56" customFormat="1" ht="13.2">
      <c r="B9" s="198" t="s">
        <v>339</v>
      </c>
      <c r="E9" s="173">
        <f>Assumptions!N7</f>
        <v>45.47</v>
      </c>
    </row>
    <row r="10" spans="2:10" s="56" customFormat="1" ht="13.2">
      <c r="B10" s="198" t="s">
        <v>78</v>
      </c>
      <c r="E10" s="695">
        <f>Assumptions!J74</f>
        <v>6752</v>
      </c>
    </row>
    <row r="11" spans="2:10" s="56" customFormat="1" ht="13.2">
      <c r="B11" s="198" t="s">
        <v>85</v>
      </c>
      <c r="E11" s="696">
        <v>-11383</v>
      </c>
    </row>
    <row r="12" spans="2:10" s="56" customFormat="1" ht="13.2">
      <c r="B12" s="198" t="s">
        <v>18</v>
      </c>
      <c r="E12" s="696">
        <v>10422</v>
      </c>
    </row>
    <row r="13" spans="2:10" s="56" customFormat="1" ht="13.2">
      <c r="B13" s="198" t="s">
        <v>79</v>
      </c>
      <c r="E13" s="696">
        <v>1000</v>
      </c>
    </row>
    <row r="14" spans="2:10" s="56" customFormat="1" ht="13.2">
      <c r="B14" s="485" t="s">
        <v>68</v>
      </c>
      <c r="C14" s="95"/>
      <c r="D14" s="95"/>
      <c r="E14" s="486">
        <f>Scenarios!H44</f>
        <v>7</v>
      </c>
    </row>
    <row r="15" spans="2:10" s="56" customFormat="1" ht="13.2">
      <c r="B15" s="479"/>
    </row>
    <row r="16" spans="2:10" s="56" customFormat="1" ht="13.2">
      <c r="B16" s="121" t="s">
        <v>253</v>
      </c>
    </row>
    <row r="17" spans="2:9" s="56" customFormat="1" ht="13.2">
      <c r="B17" s="11"/>
      <c r="C17" s="80"/>
    </row>
    <row r="18" spans="2:9" s="56" customFormat="1" ht="13.2">
      <c r="B18" s="125" t="s">
        <v>254</v>
      </c>
      <c r="E18" s="795">
        <v>1</v>
      </c>
      <c r="G18" s="125" t="s">
        <v>255</v>
      </c>
      <c r="I18" s="125" t="s">
        <v>257</v>
      </c>
    </row>
    <row r="19" spans="2:9" s="56" customFormat="1" ht="13.2">
      <c r="E19" s="487" t="str">
        <f>CHOOSE(E18,G19,I19)</f>
        <v>EBITDA Multiple</v>
      </c>
      <c r="G19" s="200" t="s">
        <v>256</v>
      </c>
      <c r="I19" s="200" t="s">
        <v>258</v>
      </c>
    </row>
    <row r="20" spans="2:9" s="56" customFormat="1" ht="13.2"/>
    <row r="21" spans="2:9" s="56" customFormat="1" ht="13.2">
      <c r="B21" s="125" t="s">
        <v>30</v>
      </c>
      <c r="E21" s="127">
        <f>E10</f>
        <v>6752</v>
      </c>
      <c r="F21" s="127"/>
      <c r="G21" s="127">
        <f>E10</f>
        <v>6752</v>
      </c>
      <c r="H21" s="127"/>
      <c r="I21" s="127">
        <f>E10</f>
        <v>6752</v>
      </c>
    </row>
    <row r="22" spans="2:9" s="56" customFormat="1" ht="13.2">
      <c r="B22" s="125" t="s">
        <v>57</v>
      </c>
      <c r="E22" s="346">
        <f>CHOOSE(E18,G22,I22)</f>
        <v>7</v>
      </c>
      <c r="G22" s="345">
        <v>7</v>
      </c>
      <c r="I22" s="346">
        <f>I23/I21</f>
        <v>7.0541512144549756</v>
      </c>
    </row>
    <row r="23" spans="2:9" s="56" customFormat="1" ht="13.2">
      <c r="B23" s="121" t="s">
        <v>28</v>
      </c>
      <c r="E23" s="135">
        <f>E21*E22</f>
        <v>47264</v>
      </c>
      <c r="F23" s="135"/>
      <c r="G23" s="127">
        <f>G21*G22</f>
        <v>47264</v>
      </c>
      <c r="H23" s="127"/>
      <c r="I23" s="127">
        <f>I28-I26-I25</f>
        <v>47629.628999999994</v>
      </c>
    </row>
    <row r="24" spans="2:9" s="56" customFormat="1" ht="13.2"/>
    <row r="25" spans="2:9" s="56" customFormat="1" ht="13.2">
      <c r="B25" s="324" t="s">
        <v>67</v>
      </c>
      <c r="E25" s="127">
        <f>E11</f>
        <v>-11383</v>
      </c>
      <c r="G25" s="127">
        <f>E11</f>
        <v>-11383</v>
      </c>
      <c r="H25" s="127"/>
      <c r="I25" s="127">
        <f>E11</f>
        <v>-11383</v>
      </c>
    </row>
    <row r="26" spans="2:9" s="56" customFormat="1" ht="13.2">
      <c r="B26" s="324" t="s">
        <v>66</v>
      </c>
      <c r="E26" s="127">
        <f>E12</f>
        <v>10422</v>
      </c>
      <c r="G26" s="127">
        <f>E12</f>
        <v>10422</v>
      </c>
      <c r="H26" s="127"/>
      <c r="I26" s="127">
        <f>E12</f>
        <v>10422</v>
      </c>
    </row>
    <row r="27" spans="2:9" s="56" customFormat="1" ht="13.2"/>
    <row r="28" spans="2:9" s="56" customFormat="1" ht="13.2">
      <c r="B28" s="121" t="s">
        <v>31</v>
      </c>
      <c r="E28" s="135">
        <f>E23+E25+E26</f>
        <v>46303</v>
      </c>
      <c r="F28" s="135"/>
      <c r="G28" s="127">
        <f>G23+G25+G26</f>
        <v>46303</v>
      </c>
      <c r="H28" s="127"/>
      <c r="I28" s="127">
        <f>I29*I31</f>
        <v>46668.628999999994</v>
      </c>
    </row>
    <row r="29" spans="2:9" s="56" customFormat="1" ht="13.2">
      <c r="B29" s="125" t="s">
        <v>5</v>
      </c>
      <c r="E29" s="269">
        <f>Assumptions!N9+Assumptions!N11</f>
        <v>952.42099999999994</v>
      </c>
      <c r="G29" s="125">
        <f>Assumptions!N9+Assumptions!N11</f>
        <v>952.42099999999994</v>
      </c>
      <c r="I29" s="125">
        <f>Assumptions!N9+Assumptions!N11</f>
        <v>952.42099999999994</v>
      </c>
    </row>
    <row r="30" spans="2:9" s="56" customFormat="1" ht="13.2"/>
    <row r="31" spans="2:9" s="56" customFormat="1" ht="13.2">
      <c r="B31" s="121" t="s">
        <v>58</v>
      </c>
      <c r="E31" s="488">
        <f>E28/E29</f>
        <v>48.616105692755625</v>
      </c>
      <c r="G31" s="257">
        <f>G28/G29</f>
        <v>48.616105692755625</v>
      </c>
      <c r="I31" s="270">
        <v>49</v>
      </c>
    </row>
    <row r="32" spans="2:9" s="56" customFormat="1" ht="13.2">
      <c r="B32" s="337" t="s">
        <v>59</v>
      </c>
      <c r="E32" s="489">
        <f>(E31/E9)-1</f>
        <v>6.9190800368498451E-2</v>
      </c>
      <c r="F32" s="80"/>
      <c r="G32" s="489">
        <f>(G31/E9)-1</f>
        <v>6.9190800368498451E-2</v>
      </c>
      <c r="H32" s="490"/>
      <c r="I32" s="489">
        <f>(I31/E9)-1</f>
        <v>7.7633604574444792E-2</v>
      </c>
    </row>
    <row r="33" spans="2:10" s="56" customFormat="1" ht="13.2"/>
    <row r="34" spans="2:10" s="56" customFormat="1" ht="13.2">
      <c r="B34" s="121" t="s">
        <v>336</v>
      </c>
    </row>
    <row r="35" spans="2:10" s="56" customFormat="1" ht="13.2">
      <c r="B35" s="324" t="s">
        <v>32</v>
      </c>
      <c r="D35" s="127">
        <f>E28</f>
        <v>46303</v>
      </c>
    </row>
    <row r="36" spans="2:10" s="56" customFormat="1" ht="13.2">
      <c r="B36" s="324" t="s">
        <v>34</v>
      </c>
      <c r="D36" s="127">
        <f>-(E11)</f>
        <v>11383</v>
      </c>
    </row>
    <row r="37" spans="2:10" s="56" customFormat="1" ht="13.2">
      <c r="B37" s="324" t="s">
        <v>84</v>
      </c>
      <c r="D37" s="127">
        <f>H48+H51</f>
        <v>1364.94</v>
      </c>
    </row>
    <row r="38" spans="2:10" s="56" customFormat="1" ht="13.2">
      <c r="B38" s="121" t="s">
        <v>36</v>
      </c>
      <c r="D38" s="135">
        <f>SUM(D35:D37)</f>
        <v>59050.94</v>
      </c>
    </row>
    <row r="39" spans="2:10" s="56" customFormat="1" ht="13.2">
      <c r="C39" s="128"/>
    </row>
    <row r="40" spans="2:10" s="56" customFormat="1" ht="13.2">
      <c r="B40" s="121" t="s">
        <v>337</v>
      </c>
      <c r="F40" s="121" t="s">
        <v>80</v>
      </c>
    </row>
    <row r="41" spans="2:10" s="56" customFormat="1" ht="15">
      <c r="C41" s="491" t="s">
        <v>61</v>
      </c>
      <c r="D41" s="491" t="s">
        <v>62</v>
      </c>
      <c r="G41" s="492" t="s">
        <v>73</v>
      </c>
      <c r="H41" s="492" t="s">
        <v>82</v>
      </c>
      <c r="I41" s="492" t="s">
        <v>72</v>
      </c>
      <c r="J41" s="492" t="s">
        <v>75</v>
      </c>
    </row>
    <row r="42" spans="2:10" s="56" customFormat="1" ht="13.2">
      <c r="B42" s="324" t="s">
        <v>33</v>
      </c>
      <c r="C42" s="493">
        <f>D42/E10</f>
        <v>1.3954383886255923</v>
      </c>
      <c r="D42" s="127">
        <f>MAX(E12-E13,0)</f>
        <v>9422</v>
      </c>
      <c r="F42" s="200" t="s">
        <v>71</v>
      </c>
    </row>
    <row r="43" spans="2:10" s="56" customFormat="1" ht="13.2">
      <c r="B43" s="324" t="s">
        <v>9</v>
      </c>
      <c r="C43" s="494">
        <v>0</v>
      </c>
      <c r="D43" s="127">
        <f>C43*$E$21</f>
        <v>0</v>
      </c>
      <c r="F43" s="324" t="str">
        <f>B43</f>
        <v>Revolver</v>
      </c>
      <c r="G43" s="128">
        <v>0.01</v>
      </c>
      <c r="H43" s="127">
        <f>D43*G43</f>
        <v>0</v>
      </c>
      <c r="I43" s="129">
        <v>5</v>
      </c>
      <c r="J43" s="130">
        <f>IFERROR(G43*D43/I43, "NM")</f>
        <v>0</v>
      </c>
    </row>
    <row r="44" spans="2:10" s="56" customFormat="1" ht="13.2">
      <c r="B44" s="324" t="s">
        <v>40</v>
      </c>
      <c r="C44" s="495">
        <v>2</v>
      </c>
      <c r="D44" s="127">
        <f>C44*$E$21</f>
        <v>13504</v>
      </c>
      <c r="F44" s="324" t="str">
        <f>B44</f>
        <v>Term Loan A</v>
      </c>
      <c r="G44" s="128">
        <v>1.4999999999999999E-2</v>
      </c>
      <c r="H44" s="127">
        <f>D44*G44</f>
        <v>202.56</v>
      </c>
      <c r="I44" s="129">
        <v>7</v>
      </c>
      <c r="J44" s="130">
        <f>IFERROR(G44*D44/I44, "NM")</f>
        <v>28.937142857142856</v>
      </c>
    </row>
    <row r="45" spans="2:10" s="56" customFormat="1" ht="13.2">
      <c r="B45" s="324" t="s">
        <v>41</v>
      </c>
      <c r="C45" s="495">
        <v>1.5</v>
      </c>
      <c r="D45" s="127">
        <f>C45*$E$21</f>
        <v>10128</v>
      </c>
      <c r="F45" s="324" t="str">
        <f>B45</f>
        <v>Term Loan B</v>
      </c>
      <c r="G45" s="128">
        <v>1.4999999999999999E-2</v>
      </c>
      <c r="H45" s="127">
        <f>D45*G45</f>
        <v>151.91999999999999</v>
      </c>
      <c r="I45" s="129">
        <v>7</v>
      </c>
      <c r="J45" s="130">
        <f>IFERROR(G45*D45/I45, "NM")</f>
        <v>21.702857142857141</v>
      </c>
    </row>
    <row r="46" spans="2:10" s="56" customFormat="1" ht="13.2">
      <c r="B46" s="324" t="s">
        <v>341</v>
      </c>
      <c r="C46" s="495">
        <v>0.5</v>
      </c>
      <c r="D46" s="127">
        <f>C46*$E$21</f>
        <v>3376</v>
      </c>
      <c r="F46" s="324" t="str">
        <f>B46</f>
        <v>Senior Secured</v>
      </c>
      <c r="G46" s="128">
        <v>1.4999999999999999E-2</v>
      </c>
      <c r="H46" s="127">
        <f>D46*G46</f>
        <v>50.64</v>
      </c>
      <c r="I46" s="129">
        <v>7</v>
      </c>
      <c r="J46" s="130">
        <f>IFERROR(G46*D46/I46, "NM")</f>
        <v>7.234285714285714</v>
      </c>
    </row>
    <row r="47" spans="2:10" s="56" customFormat="1" ht="13.2">
      <c r="B47" s="324" t="s">
        <v>340</v>
      </c>
      <c r="C47" s="495">
        <v>0.5</v>
      </c>
      <c r="D47" s="127">
        <f>C47*$E$21</f>
        <v>3376</v>
      </c>
      <c r="F47" s="324" t="str">
        <f>B47</f>
        <v>Senior Unsecured</v>
      </c>
      <c r="G47" s="128">
        <v>0.01</v>
      </c>
      <c r="H47" s="127">
        <f>D47*G47</f>
        <v>33.76</v>
      </c>
      <c r="I47" s="129">
        <v>7</v>
      </c>
      <c r="J47" s="130">
        <f>IFERROR(G47*D47/I47, "NM")</f>
        <v>4.822857142857143</v>
      </c>
    </row>
    <row r="48" spans="2:10" s="56" customFormat="1" ht="13.2">
      <c r="B48" s="324" t="s">
        <v>35</v>
      </c>
      <c r="C48" s="496">
        <f>D48/E10</f>
        <v>2.8502577014218011</v>
      </c>
      <c r="D48" s="127">
        <f>D38-SUM(D42:D47)</f>
        <v>19244.940000000002</v>
      </c>
      <c r="F48" s="497" t="s">
        <v>71</v>
      </c>
      <c r="H48" s="135">
        <f>SUM(H43:H47)</f>
        <v>438.88</v>
      </c>
      <c r="I48" s="339"/>
      <c r="J48" s="127">
        <f>SUM(J43:J47)</f>
        <v>62.697142857142858</v>
      </c>
    </row>
    <row r="49" spans="2:10" s="56" customFormat="1" ht="13.2">
      <c r="B49" s="229" t="s">
        <v>63</v>
      </c>
      <c r="C49" s="498">
        <f>SUM(C42:C48)</f>
        <v>8.7456960900473941</v>
      </c>
      <c r="D49" s="135">
        <f>SUM(D42:D48)</f>
        <v>59050.94</v>
      </c>
      <c r="H49" s="107"/>
    </row>
    <row r="50" spans="2:10" s="56" customFormat="1" ht="15">
      <c r="B50" s="332"/>
      <c r="C50" s="499"/>
      <c r="D50" s="76"/>
      <c r="F50" s="332"/>
      <c r="G50" s="492" t="s">
        <v>81</v>
      </c>
      <c r="H50" s="492" t="s">
        <v>82</v>
      </c>
    </row>
    <row r="51" spans="2:10" s="56" customFormat="1" ht="13.2">
      <c r="F51" s="497" t="s">
        <v>83</v>
      </c>
      <c r="G51" s="128">
        <v>0.02</v>
      </c>
      <c r="H51" s="135">
        <f>G51*G28</f>
        <v>926.06000000000006</v>
      </c>
    </row>
    <row r="52" spans="2:10" s="56" customFormat="1" ht="13.2">
      <c r="B52" s="95"/>
      <c r="C52" s="95"/>
      <c r="D52" s="95"/>
      <c r="E52" s="95"/>
      <c r="F52" s="500"/>
      <c r="G52" s="184"/>
      <c r="H52" s="185"/>
      <c r="I52" s="95"/>
      <c r="J52" s="95"/>
    </row>
    <row r="53" spans="2:10" s="56" customFormat="1" ht="13.2"/>
    <row r="54" spans="2:10" s="56" customFormat="1" ht="13.2"/>
    <row r="55" spans="2:10" s="56" customFormat="1" ht="13.2"/>
    <row r="56" spans="2:10" s="56" customFormat="1" ht="13.2"/>
    <row r="57" spans="2:10" s="56" customFormat="1" ht="13.2"/>
    <row r="58" spans="2:10" s="56" customFormat="1" ht="13.2"/>
    <row r="59" spans="2:10" s="56" customFormat="1" ht="13.2"/>
    <row r="60" spans="2:10" s="56" customFormat="1" ht="13.2"/>
    <row r="61" spans="2:10" s="56" customFormat="1" ht="13.2"/>
    <row r="62" spans="2:10" s="56" customFormat="1" ht="13.2"/>
    <row r="63" spans="2:10" s="56" customFormat="1" ht="13.2"/>
    <row r="64" spans="2:10" s="56" customFormat="1" ht="13.2"/>
    <row r="65" s="56" customFormat="1" ht="13.2"/>
    <row r="66" s="56" customFormat="1" ht="13.2"/>
    <row r="67" s="56" customFormat="1" ht="13.2"/>
    <row r="68" s="56" customFormat="1" ht="13.2"/>
    <row r="69" s="56" customFormat="1" ht="13.2"/>
    <row r="70" s="56" customFormat="1" ht="13.2"/>
    <row r="71" s="56" customFormat="1" ht="13.2"/>
    <row r="72" s="56" customFormat="1" ht="13.2"/>
    <row r="73" s="56" customFormat="1" ht="13.2"/>
    <row r="74" s="56" customFormat="1" ht="13.2"/>
    <row r="75" s="56" customFormat="1" ht="13.2"/>
    <row r="76" s="56" customFormat="1" ht="13.2"/>
    <row r="77" s="56" customFormat="1" ht="13.2"/>
    <row r="78" s="56" customFormat="1" ht="13.2"/>
    <row r="79" s="56" customFormat="1" ht="13.2"/>
    <row r="131" spans="2:10" ht="14.4">
      <c r="F131" s="64"/>
      <c r="G131" s="64"/>
      <c r="H131" s="64"/>
      <c r="I131" s="64"/>
      <c r="J131" s="64"/>
    </row>
    <row r="132" spans="2:10" ht="14.4">
      <c r="B132" s="501"/>
      <c r="F132" s="64"/>
      <c r="G132" s="64"/>
      <c r="H132" s="64"/>
      <c r="I132" s="64"/>
      <c r="J132" s="64"/>
    </row>
    <row r="133" spans="2:10" ht="14.4">
      <c r="B133" s="502"/>
      <c r="F133" s="64"/>
      <c r="G133" s="64"/>
      <c r="H133" s="64"/>
      <c r="I133" s="64"/>
      <c r="J133" s="64"/>
    </row>
    <row r="134" spans="2:10" ht="14.4">
      <c r="B134" s="502"/>
      <c r="F134" s="64"/>
      <c r="G134" s="64"/>
      <c r="H134" s="64"/>
      <c r="I134" s="64"/>
      <c r="J134" s="64"/>
    </row>
    <row r="135" spans="2:10" ht="14.4">
      <c r="B135" s="502"/>
      <c r="E135" s="503"/>
      <c r="F135" s="64"/>
      <c r="G135" s="64"/>
      <c r="H135" s="64"/>
      <c r="I135" s="64"/>
      <c r="J135" s="64"/>
    </row>
    <row r="136" spans="2:10" ht="14.4">
      <c r="B136" s="504"/>
      <c r="C136" s="503"/>
      <c r="D136" s="358"/>
      <c r="E136" s="505"/>
      <c r="F136" s="64"/>
      <c r="G136" s="64"/>
      <c r="H136" s="64"/>
      <c r="I136" s="64"/>
      <c r="J136" s="64"/>
    </row>
    <row r="137" spans="2:10" ht="14.4">
      <c r="B137" s="506"/>
      <c r="C137" s="507"/>
      <c r="E137" s="508"/>
      <c r="F137" s="64"/>
      <c r="G137" s="64"/>
      <c r="H137" s="64"/>
      <c r="I137" s="64"/>
      <c r="J137" s="64"/>
    </row>
    <row r="138" spans="2:10" ht="14.4">
      <c r="B138" s="506"/>
      <c r="C138" s="507"/>
      <c r="F138" s="64"/>
      <c r="G138" s="64"/>
      <c r="H138" s="64"/>
      <c r="I138" s="64"/>
      <c r="J138" s="64"/>
    </row>
    <row r="139" spans="2:10" ht="14.4">
      <c r="B139" s="502"/>
      <c r="F139" s="64"/>
      <c r="G139" s="64"/>
      <c r="H139" s="64"/>
      <c r="I139" s="64"/>
      <c r="J139" s="64"/>
    </row>
    <row r="140" spans="2:10" ht="14.4">
      <c r="B140" s="501"/>
      <c r="F140" s="64"/>
      <c r="G140" s="64"/>
      <c r="H140" s="64"/>
      <c r="I140" s="64"/>
      <c r="J140" s="64"/>
    </row>
    <row r="141" spans="2:10" ht="14.4">
      <c r="B141" s="502"/>
      <c r="F141" s="64"/>
      <c r="G141" s="64"/>
      <c r="H141" s="64"/>
      <c r="I141" s="64"/>
      <c r="J141" s="64"/>
    </row>
    <row r="142" spans="2:10" ht="14.4">
      <c r="B142" s="502"/>
      <c r="F142" s="64"/>
      <c r="G142" s="64"/>
      <c r="H142" s="64"/>
      <c r="I142" s="64"/>
      <c r="J142" s="64"/>
    </row>
    <row r="143" spans="2:10" ht="14.4">
      <c r="B143" s="502"/>
      <c r="F143" s="64"/>
      <c r="G143" s="64"/>
      <c r="H143" s="64"/>
      <c r="I143" s="64"/>
      <c r="J143" s="64"/>
    </row>
    <row r="144" spans="2:10" ht="14.4">
      <c r="B144" s="504"/>
      <c r="C144" s="503"/>
      <c r="E144" s="505"/>
      <c r="F144" s="64"/>
      <c r="G144" s="64"/>
      <c r="H144" s="64"/>
      <c r="I144" s="64"/>
      <c r="J144" s="64"/>
    </row>
    <row r="145" spans="2:10" ht="14.4">
      <c r="B145" s="506"/>
      <c r="C145" s="507"/>
      <c r="E145" s="508"/>
      <c r="F145" s="64"/>
      <c r="G145" s="64"/>
      <c r="H145" s="64"/>
      <c r="I145" s="64"/>
      <c r="J145" s="64"/>
    </row>
    <row r="146" spans="2:10" ht="14.4">
      <c r="B146" s="506"/>
      <c r="C146" s="507"/>
      <c r="E146" s="507"/>
      <c r="F146" s="64"/>
      <c r="G146" s="64"/>
      <c r="H146" s="64"/>
      <c r="I146" s="64"/>
      <c r="J146" s="64"/>
    </row>
    <row r="147" spans="2:10" ht="14.4">
      <c r="B147" s="506"/>
      <c r="C147" s="507"/>
      <c r="D147" s="507"/>
      <c r="F147" s="64"/>
      <c r="G147" s="64"/>
      <c r="H147" s="64"/>
      <c r="I147" s="64"/>
      <c r="J147" s="64"/>
    </row>
    <row r="148" spans="2:10" ht="14.4">
      <c r="B148" s="501"/>
      <c r="F148" s="64"/>
      <c r="G148" s="64"/>
      <c r="H148" s="64"/>
      <c r="I148" s="64"/>
      <c r="J148" s="64"/>
    </row>
    <row r="149" spans="2:10" ht="14.4">
      <c r="B149" s="502"/>
      <c r="F149" s="64"/>
      <c r="G149" s="64"/>
      <c r="H149" s="64"/>
      <c r="I149" s="64"/>
      <c r="J149" s="64"/>
    </row>
    <row r="150" spans="2:10" ht="14.4">
      <c r="B150" s="502"/>
      <c r="E150" s="503"/>
      <c r="F150" s="64"/>
      <c r="G150" s="64"/>
      <c r="H150" s="64"/>
      <c r="I150" s="64"/>
      <c r="J150" s="64"/>
    </row>
    <row r="151" spans="2:10" ht="14.4">
      <c r="B151" s="504"/>
      <c r="C151" s="503"/>
      <c r="D151" s="503"/>
      <c r="F151" s="64"/>
      <c r="G151" s="64"/>
      <c r="H151" s="64"/>
      <c r="I151" s="64"/>
      <c r="J151" s="64"/>
    </row>
    <row r="152" spans="2:10" ht="14.4">
      <c r="B152" s="506"/>
      <c r="F152" s="64"/>
      <c r="G152" s="64"/>
      <c r="H152" s="64"/>
      <c r="I152" s="64"/>
      <c r="J152" s="64"/>
    </row>
    <row r="153" spans="2:10" ht="14.4">
      <c r="B153" s="506"/>
      <c r="F153" s="64"/>
      <c r="G153" s="64"/>
      <c r="H153" s="64"/>
      <c r="I153" s="64"/>
      <c r="J153" s="64"/>
    </row>
    <row r="154" spans="2:10" ht="14.4">
      <c r="B154" s="501"/>
      <c r="F154" s="64"/>
      <c r="G154" s="64"/>
      <c r="H154" s="64"/>
      <c r="I154" s="64"/>
      <c r="J154" s="64"/>
    </row>
    <row r="155" spans="2:10" ht="14.4">
      <c r="B155" s="502"/>
      <c r="F155" s="64"/>
      <c r="G155" s="64"/>
      <c r="H155" s="64"/>
      <c r="I155" s="64"/>
      <c r="J155" s="64"/>
    </row>
    <row r="156" spans="2:10" ht="14.4">
      <c r="B156" s="502"/>
      <c r="C156" s="505"/>
      <c r="D156" s="505"/>
      <c r="F156" s="64"/>
      <c r="G156" s="64"/>
      <c r="H156" s="64"/>
      <c r="I156" s="64"/>
      <c r="J156" s="64"/>
    </row>
    <row r="157" spans="2:10" ht="14.4">
      <c r="B157" s="509"/>
      <c r="C157" s="510"/>
      <c r="D157" s="510"/>
      <c r="E157" s="503"/>
      <c r="F157" s="64"/>
      <c r="G157" s="64"/>
      <c r="H157" s="64"/>
      <c r="I157" s="64"/>
      <c r="J157" s="64"/>
    </row>
    <row r="158" spans="2:10" ht="14.4">
      <c r="B158" s="504"/>
      <c r="C158" s="503"/>
      <c r="D158" s="510"/>
      <c r="F158" s="64"/>
      <c r="G158" s="64"/>
      <c r="H158" s="64"/>
      <c r="I158" s="64"/>
      <c r="J158" s="64"/>
    </row>
    <row r="159" spans="2:10" ht="14.4">
      <c r="B159" s="506"/>
      <c r="F159" s="64"/>
      <c r="G159" s="64"/>
      <c r="H159" s="64"/>
      <c r="I159" s="64"/>
      <c r="J159" s="64"/>
    </row>
    <row r="160" spans="2:10" ht="14.4">
      <c r="B160" s="506"/>
      <c r="E160" s="505"/>
      <c r="F160" s="64"/>
      <c r="G160" s="64"/>
      <c r="H160" s="64"/>
      <c r="I160" s="64"/>
      <c r="J160" s="64"/>
    </row>
    <row r="161" spans="2:10" ht="14.4">
      <c r="B161" s="501"/>
      <c r="D161" s="511"/>
      <c r="F161" s="64"/>
      <c r="G161" s="64"/>
      <c r="H161" s="64"/>
      <c r="I161" s="64"/>
      <c r="J161" s="64"/>
    </row>
    <row r="162" spans="2:10" ht="14.4">
      <c r="B162" s="502"/>
      <c r="F162" s="64"/>
      <c r="G162" s="64"/>
      <c r="H162" s="64"/>
      <c r="I162" s="64"/>
      <c r="J162" s="64"/>
    </row>
    <row r="163" spans="2:10" ht="14.4">
      <c r="B163" s="509"/>
      <c r="E163" s="503"/>
      <c r="F163" s="64"/>
      <c r="G163" s="64"/>
      <c r="H163" s="64"/>
      <c r="I163" s="64"/>
      <c r="J163" s="64"/>
    </row>
    <row r="164" spans="2:10" ht="14.4">
      <c r="B164" s="503"/>
      <c r="C164" s="505"/>
      <c r="D164" s="505"/>
      <c r="F164" s="64"/>
      <c r="G164" s="64"/>
      <c r="H164" s="64"/>
      <c r="I164" s="64"/>
      <c r="J164" s="64"/>
    </row>
    <row r="165" spans="2:10" ht="14.4">
      <c r="B165" s="509"/>
      <c r="C165" s="510"/>
      <c r="D165" s="510"/>
      <c r="F165" s="64"/>
      <c r="G165" s="64"/>
      <c r="H165" s="64"/>
      <c r="I165" s="64"/>
      <c r="J165" s="64"/>
    </row>
    <row r="166" spans="2:10" ht="14.4">
      <c r="B166" s="509"/>
      <c r="F166" s="64"/>
      <c r="G166" s="64"/>
      <c r="H166" s="64"/>
      <c r="I166" s="64"/>
      <c r="J166" s="64"/>
    </row>
    <row r="167" spans="2:10" ht="14.4">
      <c r="B167" s="512"/>
      <c r="E167" s="62"/>
      <c r="F167" s="64"/>
      <c r="G167" s="64"/>
      <c r="H167" s="64"/>
      <c r="I167" s="64"/>
      <c r="J167" s="64"/>
    </row>
    <row r="168" spans="2:10" ht="14.4">
      <c r="B168" s="502"/>
      <c r="C168" s="61"/>
      <c r="D168" s="62"/>
      <c r="E168" s="61"/>
      <c r="F168" s="64"/>
      <c r="G168" s="64"/>
      <c r="H168" s="64"/>
      <c r="I168" s="64"/>
      <c r="J168" s="64"/>
    </row>
    <row r="169" spans="2:10" ht="14.4">
      <c r="B169" s="502"/>
      <c r="C169" s="61"/>
      <c r="D169" s="61"/>
      <c r="E169" s="61"/>
      <c r="F169" s="64"/>
      <c r="G169" s="64"/>
      <c r="H169" s="64"/>
      <c r="I169" s="64"/>
      <c r="J169" s="64"/>
    </row>
    <row r="170" spans="2:10" ht="14.4">
      <c r="B170" s="503"/>
      <c r="C170" s="61"/>
      <c r="D170" s="61"/>
      <c r="F170" s="64"/>
      <c r="G170" s="64"/>
      <c r="H170" s="64"/>
      <c r="I170" s="64"/>
      <c r="J170" s="64"/>
    </row>
    <row r="171" spans="2:10" ht="14.4">
      <c r="B171" s="509"/>
      <c r="F171" s="64"/>
      <c r="G171" s="64"/>
      <c r="H171" s="64"/>
      <c r="I171" s="64"/>
      <c r="J171" s="64"/>
    </row>
    <row r="172" spans="2:10" ht="14.4">
      <c r="F172" s="64"/>
      <c r="G172" s="64"/>
      <c r="H172" s="64"/>
      <c r="I172" s="64"/>
      <c r="J172" s="64"/>
    </row>
    <row r="173" spans="2:10" ht="14.4">
      <c r="F173" s="64"/>
      <c r="G173" s="64"/>
      <c r="H173" s="64"/>
      <c r="I173" s="64"/>
      <c r="J173" s="64"/>
    </row>
    <row r="174" spans="2:10" ht="14.4">
      <c r="F174" s="64"/>
      <c r="G174" s="64"/>
      <c r="H174" s="64"/>
      <c r="I174" s="64"/>
      <c r="J174" s="64"/>
    </row>
    <row r="175" spans="2:10" ht="14.4">
      <c r="F175" s="64"/>
      <c r="G175" s="64"/>
      <c r="H175" s="64"/>
      <c r="I175" s="64"/>
      <c r="J175" s="64"/>
    </row>
    <row r="176" spans="2:10" ht="14.4">
      <c r="F176" s="64"/>
      <c r="G176" s="64"/>
      <c r="H176" s="64"/>
      <c r="I176" s="64"/>
      <c r="J176" s="64"/>
    </row>
    <row r="177" spans="6:10" ht="14.4">
      <c r="F177" s="64"/>
      <c r="G177" s="64"/>
      <c r="H177" s="64"/>
      <c r="I177" s="64"/>
      <c r="J177" s="64"/>
    </row>
    <row r="178" spans="6:10" ht="14.4">
      <c r="F178" s="64"/>
      <c r="G178" s="64"/>
      <c r="H178" s="64"/>
      <c r="I178" s="64"/>
      <c r="J178" s="64"/>
    </row>
    <row r="179" spans="6:10" ht="14.4">
      <c r="F179" s="64"/>
      <c r="G179" s="64"/>
      <c r="H179" s="64"/>
      <c r="I179" s="64"/>
      <c r="J179" s="64"/>
    </row>
    <row r="180" spans="6:10" ht="14.4">
      <c r="F180" s="64"/>
      <c r="G180" s="64"/>
      <c r="H180" s="64"/>
      <c r="I180" s="64"/>
      <c r="J180" s="64"/>
    </row>
    <row r="181" spans="6:10" ht="14.4">
      <c r="F181" s="64"/>
      <c r="G181" s="64"/>
      <c r="H181" s="64"/>
      <c r="I181" s="64"/>
      <c r="J181" s="64"/>
    </row>
    <row r="182" spans="6:10" ht="14.4">
      <c r="F182" s="64"/>
      <c r="G182" s="64"/>
      <c r="H182" s="64"/>
      <c r="I182" s="64"/>
      <c r="J182" s="64"/>
    </row>
    <row r="183" spans="6:10" ht="14.4">
      <c r="F183" s="64"/>
      <c r="G183" s="64"/>
      <c r="H183" s="64"/>
      <c r="I183" s="64"/>
      <c r="J183" s="64"/>
    </row>
    <row r="184" spans="6:10" ht="14.4">
      <c r="F184" s="64"/>
      <c r="G184" s="64"/>
      <c r="H184" s="64"/>
      <c r="I184" s="64"/>
      <c r="J184" s="64"/>
    </row>
    <row r="185" spans="6:10" ht="14.4">
      <c r="F185" s="64"/>
      <c r="G185" s="64"/>
      <c r="H185" s="64"/>
      <c r="I185" s="64"/>
      <c r="J185" s="64"/>
    </row>
    <row r="186" spans="6:10" ht="14.4">
      <c r="F186" s="64"/>
      <c r="G186" s="64"/>
      <c r="H186" s="64"/>
      <c r="I186" s="64"/>
      <c r="J186" s="64"/>
    </row>
    <row r="187" spans="6:10" ht="14.4">
      <c r="F187" s="64"/>
      <c r="G187" s="64"/>
      <c r="H187" s="64"/>
      <c r="I187" s="64"/>
      <c r="J187" s="64"/>
    </row>
    <row r="188" spans="6:10" ht="14.4">
      <c r="F188" s="64"/>
      <c r="G188" s="64"/>
      <c r="H188" s="64"/>
      <c r="I188" s="64"/>
      <c r="J188" s="64"/>
    </row>
    <row r="189" spans="6:10" ht="14.4">
      <c r="F189" s="64"/>
      <c r="G189" s="64"/>
      <c r="H189" s="64"/>
      <c r="I189" s="64"/>
      <c r="J189" s="64"/>
    </row>
  </sheetData>
  <dataValidations count="2">
    <dataValidation allowBlank="1" showInputMessage="1" showErrorMessage="1" promptTitle="Input transaction fee assumption" prompt="Includes legal, accounting and advisory related fees.  Input as a % of the offer value." sqref="G51:G52" xr:uid="{39E4BC94-1C6F-469D-A600-401A0DB80E38}"/>
    <dataValidation type="list" allowBlank="1" showInputMessage="1" showErrorMessage="1" sqref="E18" xr:uid="{4060EE92-E5B5-464B-9FB9-EEB191DF1042}">
      <formula1>$H$18:$I$18</formula1>
    </dataValidation>
  </dataValidations>
  <printOptions horizontalCentered="1"/>
  <pageMargins left="0.7" right="0.7" top="0.75" bottom="0.75" header="0.3" footer="0.3"/>
  <pageSetup fitToHeight="0" orientation="landscape" r:id="rId1"/>
  <headerFooter differentOddEven="1">
    <oddFooter>&amp;L&amp;"Arial"&amp;8Tyler Spencer&amp;C&amp;"Arial"&amp;8&amp;INot associated with PayPal. For educational purposes only.&amp;R&amp;"Arial"&amp;8Page &amp;P</oddFooter>
    <evenFooter>&amp;L&amp;"Arial"&amp;8Tyler Spencer&amp;C&amp;"Arial"&amp;8&amp;INot associated with PayPal. For educational purposes only.&amp;R&amp;"Arial"&amp;8Page &amp;P</evenFooter>
  </headerFooter>
  <rowBreaks count="1" manualBreakCount="1">
    <brk id="32" max="16383" man="1"/>
  </row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405F0-2511-4D12-BD9B-3D9B5456C2AD}">
  <sheetPr>
    <pageSetUpPr autoPageBreaks="0" fitToPage="1"/>
  </sheetPr>
  <dimension ref="B1:P53"/>
  <sheetViews>
    <sheetView topLeftCell="A4" workbookViewId="0">
      <selection activeCell="I9" sqref="I9"/>
    </sheetView>
  </sheetViews>
  <sheetFormatPr defaultColWidth="9.109375" defaultRowHeight="13.8"/>
  <cols>
    <col min="1" max="1" width="2.6640625" style="55" customWidth="1"/>
    <col min="2" max="2" width="3.6640625" style="55" customWidth="1"/>
    <col min="3" max="3" width="29.88671875" style="55" customWidth="1"/>
    <col min="4" max="4" width="6.5546875" style="55" customWidth="1"/>
    <col min="5" max="12" width="12.33203125" style="55" customWidth="1"/>
    <col min="13" max="22" width="9.109375" style="55"/>
    <col min="23" max="23" width="10.33203125" style="55" bestFit="1" customWidth="1"/>
    <col min="24" max="16384" width="9.109375" style="55"/>
  </cols>
  <sheetData>
    <row r="1" spans="2:12" s="56" customFormat="1" ht="13.2">
      <c r="I1" s="218"/>
      <c r="L1" s="725" t="str">
        <f>"CURRENTLY RUNNING: "&amp;UPPER(CHOOSE(Scenarios!$C$6,Scenarios!B10,Scenarios!B11,Scenarios!B12))&amp;" SCENARIO"</f>
        <v>CURRENTLY RUNNING: BASE CASE SCENARIO</v>
      </c>
    </row>
    <row r="2" spans="2:12" ht="22.8">
      <c r="B2" s="201" t="str">
        <f>Cover!$B$7</f>
        <v>PayPal</v>
      </c>
      <c r="C2" s="57"/>
      <c r="D2" s="58"/>
      <c r="E2" s="58"/>
      <c r="F2" s="58"/>
      <c r="G2" s="58"/>
      <c r="H2" s="58"/>
      <c r="I2" s="58"/>
      <c r="J2" s="58"/>
      <c r="K2" s="58"/>
      <c r="L2" s="59"/>
    </row>
    <row r="3" spans="2:12" ht="18" thickBot="1">
      <c r="B3" s="219" t="s">
        <v>363</v>
      </c>
      <c r="C3" s="3"/>
      <c r="D3" s="4"/>
      <c r="E3" s="4"/>
      <c r="F3" s="4"/>
      <c r="G3" s="4"/>
      <c r="H3" s="4"/>
      <c r="I3" s="4"/>
      <c r="J3" s="4"/>
      <c r="K3" s="4"/>
      <c r="L3" s="4"/>
    </row>
    <row r="4" spans="2:12" ht="17.399999999999999">
      <c r="B4" s="220" t="s">
        <v>93</v>
      </c>
      <c r="C4" s="81"/>
      <c r="D4" s="82"/>
      <c r="E4" s="82"/>
      <c r="F4" s="82"/>
      <c r="G4" s="82"/>
      <c r="H4" s="82"/>
      <c r="I4" s="82"/>
      <c r="J4" s="82"/>
      <c r="K4" s="82"/>
      <c r="L4" s="82"/>
    </row>
    <row r="5" spans="2:12" s="56" customFormat="1" ht="13.2">
      <c r="H5" s="202" t="s">
        <v>94</v>
      </c>
      <c r="I5" s="75"/>
      <c r="J5" s="75"/>
      <c r="K5" s="75"/>
      <c r="L5" s="75"/>
    </row>
    <row r="6" spans="2:12" s="56" customFormat="1" ht="13.2">
      <c r="E6" s="221">
        <f>F6-1</f>
        <v>2023</v>
      </c>
      <c r="F6" s="221">
        <f>G6-1</f>
        <v>2024</v>
      </c>
      <c r="G6" s="221">
        <v>2025</v>
      </c>
      <c r="H6" s="222">
        <f>G6+1</f>
        <v>2026</v>
      </c>
      <c r="I6" s="222">
        <f>H6+1</f>
        <v>2027</v>
      </c>
      <c r="J6" s="222">
        <f>I6+1</f>
        <v>2028</v>
      </c>
      <c r="K6" s="222">
        <f>J6+1</f>
        <v>2029</v>
      </c>
      <c r="L6" s="222">
        <f>K6+1</f>
        <v>2030</v>
      </c>
    </row>
    <row r="7" spans="2:12" s="56" customFormat="1" ht="13.2">
      <c r="B7" s="121"/>
      <c r="E7" s="7"/>
      <c r="F7" s="7"/>
      <c r="G7" s="7"/>
      <c r="H7" s="9"/>
      <c r="I7" s="9"/>
      <c r="J7" s="9"/>
      <c r="K7" s="10"/>
      <c r="L7" s="83"/>
    </row>
    <row r="8" spans="2:12" s="56" customFormat="1" ht="13.2">
      <c r="C8" s="121" t="s">
        <v>95</v>
      </c>
      <c r="E8" s="923">
        <v>29771</v>
      </c>
      <c r="F8" s="923">
        <v>31797</v>
      </c>
      <c r="G8" s="923">
        <v>33172</v>
      </c>
      <c r="H8" s="924">
        <f>'Revenue Build'!H11</f>
        <v>34315.686079999999</v>
      </c>
      <c r="I8" s="924">
        <f>'Revenue Build'!I11</f>
        <v>35688.888662399993</v>
      </c>
      <c r="J8" s="924">
        <f>'Revenue Build'!J11</f>
        <v>37318.555958271994</v>
      </c>
      <c r="K8" s="924">
        <f>'Revenue Build'!K11</f>
        <v>39243.381385100161</v>
      </c>
      <c r="L8" s="924">
        <f>'Revenue Build'!L11</f>
        <v>41267.005856659562</v>
      </c>
    </row>
    <row r="9" spans="2:12" s="56" customFormat="1" ht="13.2">
      <c r="C9" s="125" t="s">
        <v>98</v>
      </c>
      <c r="E9" s="175">
        <v>-14385</v>
      </c>
      <c r="F9" s="175">
        <v>-15697</v>
      </c>
      <c r="G9" s="175">
        <v>-15987</v>
      </c>
      <c r="H9" s="223">
        <f>-('Revenue Build'!H14*Assumptions!$H$28)</f>
        <v>-16886.86</v>
      </c>
      <c r="I9" s="223">
        <f>-('Revenue Build'!I14*Assumptions!$H$28)</f>
        <v>-17900.071599999999</v>
      </c>
      <c r="J9" s="223">
        <f>-('Revenue Build'!J14*Assumptions!$H$28)</f>
        <v>-18974.075896000002</v>
      </c>
      <c r="K9" s="223">
        <f>-('Revenue Build'!K14*Assumptions!$H$28)</f>
        <v>-20112.520449760003</v>
      </c>
      <c r="L9" s="223">
        <f>-('Revenue Build'!L14*Assumptions!$H$28)</f>
        <v>-21319.2716767456</v>
      </c>
    </row>
    <row r="10" spans="2:12" s="56" customFormat="1" ht="13.2">
      <c r="C10" s="199" t="s">
        <v>99</v>
      </c>
      <c r="E10" s="175">
        <v>-1682</v>
      </c>
      <c r="F10" s="175">
        <v>-1442</v>
      </c>
      <c r="G10" s="175">
        <v>-1720</v>
      </c>
      <c r="H10" s="223">
        <f>-('Revenue Build'!H14*Assumptions!$H$29)</f>
        <v>-1821.5040000000001</v>
      </c>
      <c r="I10" s="223">
        <f>-('Revenue Build'!I14*Assumptions!$H$29)</f>
        <v>-1930.7942399999999</v>
      </c>
      <c r="J10" s="223">
        <f>-('Revenue Build'!J14*Assumptions!$H$29)</f>
        <v>-2046.6418944000002</v>
      </c>
      <c r="K10" s="223">
        <f>-('Revenue Build'!K14*Assumptions!$H$29)</f>
        <v>-2169.4404080640002</v>
      </c>
      <c r="L10" s="223">
        <f>-('Revenue Build'!L14*Assumptions!$H$29)</f>
        <v>-2299.6068325478404</v>
      </c>
    </row>
    <row r="11" spans="2:12" s="56" customFormat="1" ht="13.2">
      <c r="C11" s="199" t="s">
        <v>100</v>
      </c>
      <c r="E11" s="142">
        <v>-1919</v>
      </c>
      <c r="F11" s="142">
        <v>-1768</v>
      </c>
      <c r="G11" s="142">
        <v>-1704</v>
      </c>
      <c r="H11" s="226">
        <f>-H8*Assumptions!$H$30</f>
        <v>-1750.0999900799998</v>
      </c>
      <c r="I11" s="226">
        <f>-I8*Assumptions!$H$30</f>
        <v>-1820.1333217823994</v>
      </c>
      <c r="J11" s="226">
        <f>-J8*Assumptions!$H$30</f>
        <v>-1903.2463538718716</v>
      </c>
      <c r="K11" s="226">
        <f>-K8*Assumptions!$H$30</f>
        <v>-2001.4124506401081</v>
      </c>
      <c r="L11" s="226">
        <f>-L8*Assumptions!$H$30</f>
        <v>-2104.6172986896377</v>
      </c>
    </row>
    <row r="12" spans="2:12" s="56" customFormat="1" ht="13.2">
      <c r="C12" s="227" t="s">
        <v>3</v>
      </c>
      <c r="E12" s="938">
        <f t="shared" ref="E12:L12" si="0">SUM(E8:E11)</f>
        <v>11785</v>
      </c>
      <c r="F12" s="938">
        <f t="shared" si="0"/>
        <v>12890</v>
      </c>
      <c r="G12" s="938">
        <f t="shared" si="0"/>
        <v>13761</v>
      </c>
      <c r="H12" s="938">
        <f t="shared" si="0"/>
        <v>13857.222089919998</v>
      </c>
      <c r="I12" s="938">
        <f t="shared" si="0"/>
        <v>14037.889500617595</v>
      </c>
      <c r="J12" s="938">
        <f t="shared" si="0"/>
        <v>14394.591814000121</v>
      </c>
      <c r="K12" s="938">
        <f t="shared" si="0"/>
        <v>14960.00807663605</v>
      </c>
      <c r="L12" s="938">
        <f t="shared" si="0"/>
        <v>15543.510048676482</v>
      </c>
    </row>
    <row r="13" spans="2:12" s="56" customFormat="1" ht="13.2">
      <c r="C13" s="78"/>
      <c r="E13" s="12"/>
      <c r="F13" s="12"/>
      <c r="G13" s="12"/>
      <c r="H13" s="2"/>
      <c r="I13" s="2"/>
      <c r="J13" s="2"/>
      <c r="K13" s="2"/>
      <c r="L13" s="2"/>
    </row>
    <row r="14" spans="2:12" s="56" customFormat="1" ht="13.2">
      <c r="C14" s="199" t="s">
        <v>101</v>
      </c>
      <c r="E14" s="175">
        <v>-1809</v>
      </c>
      <c r="F14" s="175">
        <v>-2001</v>
      </c>
      <c r="G14" s="175">
        <v>-2283</v>
      </c>
      <c r="H14" s="223">
        <f>-H8*Assumptions!$H$31</f>
        <v>-2367.7823395200003</v>
      </c>
      <c r="I14" s="223">
        <f>-I8*Assumptions!$H$31</f>
        <v>-2462.5333177055995</v>
      </c>
      <c r="J14" s="223">
        <f>-J8*Assumptions!$H$31</f>
        <v>-2574.9803611207676</v>
      </c>
      <c r="K14" s="223">
        <f>-K8*Assumptions!$H$31</f>
        <v>-2707.7933155719115</v>
      </c>
      <c r="L14" s="223">
        <f>-L8*Assumptions!$H$31</f>
        <v>-2847.4234041095101</v>
      </c>
    </row>
    <row r="15" spans="2:12" s="56" customFormat="1" ht="13.2">
      <c r="C15" s="199" t="s">
        <v>102</v>
      </c>
      <c r="E15" s="175">
        <v>-2973</v>
      </c>
      <c r="F15" s="175">
        <v>-2979</v>
      </c>
      <c r="G15" s="175">
        <v>-3103</v>
      </c>
      <c r="H15" s="223">
        <f>G15*(1+Assumptions!$H$32)</f>
        <v>-3196.09</v>
      </c>
      <c r="I15" s="223">
        <f>H15*(1+Assumptions!$H$32)</f>
        <v>-3291.9727000000003</v>
      </c>
      <c r="J15" s="223">
        <f>I15*(1+Assumptions!$H$32)</f>
        <v>-3390.7318810000002</v>
      </c>
      <c r="K15" s="223">
        <f>J15*(1+Assumptions!$H$32)</f>
        <v>-3492.4538374300005</v>
      </c>
      <c r="L15" s="223">
        <f>K15*(1+Assumptions!$H$32)</f>
        <v>-3597.2274525529006</v>
      </c>
    </row>
    <row r="16" spans="2:12" s="56" customFormat="1" ht="13.2">
      <c r="C16" s="199" t="s">
        <v>103</v>
      </c>
      <c r="E16" s="175">
        <v>-2059</v>
      </c>
      <c r="F16" s="175">
        <v>-2147</v>
      </c>
      <c r="G16" s="175">
        <v>-1979</v>
      </c>
      <c r="H16" s="223">
        <f>G16*(1+Assumptions!$H$33)</f>
        <v>-2018.58</v>
      </c>
      <c r="I16" s="223">
        <f>H16*(1+Assumptions!$H$33)</f>
        <v>-2058.9515999999999</v>
      </c>
      <c r="J16" s="223">
        <f>I16*(1+Assumptions!$H$33)</f>
        <v>-2100.1306319999999</v>
      </c>
      <c r="K16" s="223">
        <f>J16*(1+Assumptions!$H$33)</f>
        <v>-2142.1332446399997</v>
      </c>
      <c r="L16" s="223">
        <f>K16*(1+Assumptions!$H$33)</f>
        <v>-2184.9759095328</v>
      </c>
    </row>
    <row r="17" spans="2:12" s="56" customFormat="1" ht="13.2">
      <c r="C17" s="199" t="s">
        <v>104</v>
      </c>
      <c r="E17" s="772">
        <v>84</v>
      </c>
      <c r="F17" s="772">
        <v>-438</v>
      </c>
      <c r="G17" s="772">
        <v>-331</v>
      </c>
      <c r="H17" s="772">
        <v>0</v>
      </c>
      <c r="I17" s="773">
        <f>H17</f>
        <v>0</v>
      </c>
      <c r="J17" s="773">
        <f t="shared" ref="J17:L17" si="1">I17</f>
        <v>0</v>
      </c>
      <c r="K17" s="773">
        <f t="shared" si="1"/>
        <v>0</v>
      </c>
      <c r="L17" s="773">
        <f t="shared" si="1"/>
        <v>0</v>
      </c>
    </row>
    <row r="18" spans="2:12" s="56" customFormat="1" ht="13.2">
      <c r="C18" s="227" t="s">
        <v>20</v>
      </c>
      <c r="E18" s="914">
        <f t="shared" ref="E18:L18" si="2">SUM(E12:E17)</f>
        <v>5028</v>
      </c>
      <c r="F18" s="914">
        <f t="shared" si="2"/>
        <v>5325</v>
      </c>
      <c r="G18" s="914">
        <f t="shared" si="2"/>
        <v>6065</v>
      </c>
      <c r="H18" s="914">
        <f t="shared" si="2"/>
        <v>6274.7697503999971</v>
      </c>
      <c r="I18" s="914">
        <f t="shared" si="2"/>
        <v>6224.4318829119948</v>
      </c>
      <c r="J18" s="914">
        <f t="shared" si="2"/>
        <v>6328.7489398793532</v>
      </c>
      <c r="K18" s="914">
        <f t="shared" si="2"/>
        <v>6617.6276789941385</v>
      </c>
      <c r="L18" s="914">
        <f t="shared" si="2"/>
        <v>6913.8832824812716</v>
      </c>
    </row>
    <row r="19" spans="2:12" s="56" customFormat="1" ht="13.2">
      <c r="C19" s="11"/>
      <c r="E19" s="14"/>
      <c r="F19" s="14"/>
      <c r="G19" s="14"/>
      <c r="H19" s="14"/>
      <c r="I19" s="14"/>
      <c r="J19" s="14"/>
      <c r="K19" s="14"/>
      <c r="L19" s="14"/>
    </row>
    <row r="20" spans="2:12" s="56" customFormat="1" ht="13.2">
      <c r="C20" s="125" t="s">
        <v>342</v>
      </c>
      <c r="E20" s="14"/>
      <c r="F20" s="14"/>
      <c r="G20" s="14"/>
      <c r="H20" s="230">
        <f ca="1">-'LBO Debt Schedule'!H83+'LBO Debt Schedule'!H61</f>
        <v>-1873.2890012856601</v>
      </c>
      <c r="I20" s="230">
        <f ca="1">-'LBO Debt Schedule'!I83+'LBO Debt Schedule'!I61</f>
        <v>-1589.711074733121</v>
      </c>
      <c r="J20" s="230">
        <f ca="1">-'LBO Debt Schedule'!J83+'LBO Debt Schedule'!J61</f>
        <v>-1309.0260434832751</v>
      </c>
      <c r="K20" s="230">
        <f ca="1">-'LBO Debt Schedule'!K83+'LBO Debt Schedule'!K61</f>
        <v>-1038.002720031847</v>
      </c>
      <c r="L20" s="230">
        <f ca="1">-'LBO Debt Schedule'!L83+'LBO Debt Schedule'!L61</f>
        <v>-759.74365210009773</v>
      </c>
    </row>
    <row r="21" spans="2:12" s="56" customFormat="1" ht="13.2">
      <c r="B21" s="11"/>
      <c r="C21" s="199" t="s">
        <v>105</v>
      </c>
      <c r="E21" s="225">
        <v>383</v>
      </c>
      <c r="F21" s="225">
        <v>4</v>
      </c>
      <c r="G21" s="225">
        <v>227</v>
      </c>
      <c r="H21" s="228">
        <f>AVERAGE($E$21:$G$21)</f>
        <v>204.66666666666666</v>
      </c>
      <c r="I21" s="228">
        <f>AVERAGE($E$21:$G$21)</f>
        <v>204.66666666666666</v>
      </c>
      <c r="J21" s="228">
        <f>AVERAGE($E$21:$G$21)</f>
        <v>204.66666666666666</v>
      </c>
      <c r="K21" s="228">
        <f>AVERAGE($E$21:$G$21)</f>
        <v>204.66666666666666</v>
      </c>
      <c r="L21" s="228">
        <f>AVERAGE($E$21:$G$21)</f>
        <v>204.66666666666666</v>
      </c>
    </row>
    <row r="22" spans="2:12" s="56" customFormat="1" ht="13.2">
      <c r="B22" s="11"/>
      <c r="C22" s="229" t="s">
        <v>96</v>
      </c>
      <c r="E22" s="915">
        <f>E21+E18</f>
        <v>5411</v>
      </c>
      <c r="F22" s="915">
        <f>F21+F18</f>
        <v>5329</v>
      </c>
      <c r="G22" s="915">
        <f>G21+G18</f>
        <v>6292</v>
      </c>
      <c r="H22" s="915">
        <f ca="1">H18+H21+H20</f>
        <v>4606.1474157810044</v>
      </c>
      <c r="I22" s="915">
        <f t="shared" ref="I22:L22" ca="1" si="3">I18+I21+I20</f>
        <v>4839.387474845541</v>
      </c>
      <c r="J22" s="915">
        <f t="shared" ca="1" si="3"/>
        <v>5224.3895630627449</v>
      </c>
      <c r="K22" s="915">
        <f t="shared" ca="1" si="3"/>
        <v>5784.2916256289582</v>
      </c>
      <c r="L22" s="915">
        <f t="shared" ca="1" si="3"/>
        <v>6358.8062970478404</v>
      </c>
    </row>
    <row r="23" spans="2:12" s="56" customFormat="1" ht="13.2">
      <c r="C23" s="13"/>
      <c r="E23" s="18"/>
      <c r="F23" s="18"/>
      <c r="H23" s="18"/>
      <c r="I23" s="16"/>
      <c r="J23" s="14"/>
      <c r="K23" s="14"/>
      <c r="L23" s="16"/>
    </row>
    <row r="24" spans="2:12" s="56" customFormat="1" ht="13.2">
      <c r="C24" s="125" t="s">
        <v>106</v>
      </c>
      <c r="E24" s="225">
        <v>-1165</v>
      </c>
      <c r="F24" s="225">
        <v>-1182</v>
      </c>
      <c r="G24" s="225">
        <v>-1059</v>
      </c>
      <c r="H24" s="86">
        <f ca="1">-'LBO Tax Schedule'!H17</f>
        <v>-726.96598052663853</v>
      </c>
      <c r="I24" s="86">
        <f ca="1">-'LBO Tax Schedule'!I17</f>
        <v>-856.72414743068225</v>
      </c>
      <c r="J24" s="86">
        <f ca="1">-'LBO Tax Schedule'!J17</f>
        <v>-991.20141461725234</v>
      </c>
      <c r="K24" s="86">
        <f ca="1">-'LBO Tax Schedule'!K17</f>
        <v>-1144.3826885106459</v>
      </c>
      <c r="L24" s="86">
        <f ca="1">-'LBO Tax Schedule'!L17</f>
        <v>-1288.6661605387501</v>
      </c>
    </row>
    <row r="25" spans="2:12" s="56" customFormat="1" thickBot="1">
      <c r="C25" s="231" t="s">
        <v>97</v>
      </c>
      <c r="D25" s="11"/>
      <c r="E25" s="916">
        <f t="shared" ref="E25:L25" si="4">E22+E24</f>
        <v>4246</v>
      </c>
      <c r="F25" s="916">
        <f t="shared" si="4"/>
        <v>4147</v>
      </c>
      <c r="G25" s="916">
        <f t="shared" si="4"/>
        <v>5233</v>
      </c>
      <c r="H25" s="916">
        <f ca="1">H22+H24</f>
        <v>3879.1814352543661</v>
      </c>
      <c r="I25" s="916">
        <f t="shared" ca="1" si="4"/>
        <v>3982.6633274148589</v>
      </c>
      <c r="J25" s="916">
        <f t="shared" ca="1" si="4"/>
        <v>4233.1881484454925</v>
      </c>
      <c r="K25" s="916">
        <f t="shared" ca="1" si="4"/>
        <v>4639.9089371183127</v>
      </c>
      <c r="L25" s="916">
        <f t="shared" ca="1" si="4"/>
        <v>5070.1401365090906</v>
      </c>
    </row>
    <row r="26" spans="2:12" s="56" customFormat="1" thickTop="1">
      <c r="C26" s="19"/>
      <c r="D26" s="11"/>
      <c r="E26" s="22"/>
      <c r="F26" s="22"/>
      <c r="G26" s="22"/>
      <c r="H26" s="22"/>
      <c r="I26" s="22"/>
      <c r="J26" s="22"/>
      <c r="K26" s="22"/>
      <c r="L26" s="22"/>
    </row>
    <row r="27" spans="2:12" s="56" customFormat="1" ht="13.2">
      <c r="C27" s="199" t="s">
        <v>138</v>
      </c>
      <c r="E27" s="142">
        <v>-1072</v>
      </c>
      <c r="F27" s="142">
        <v>-1032</v>
      </c>
      <c r="G27" s="142">
        <v>-963</v>
      </c>
      <c r="H27" s="86">
        <f>'D&amp;A Schedule'!G29</f>
        <v>-872.06521406034938</v>
      </c>
      <c r="I27" s="86">
        <f>'D&amp;A Schedule'!H29</f>
        <v>-879.88879606146872</v>
      </c>
      <c r="J27" s="86">
        <f>'D&amp;A Schedule'!I29</f>
        <v>-916.67086001573193</v>
      </c>
      <c r="K27" s="86">
        <f>'D&amp;A Schedule'!J29</f>
        <v>-927.60299120747186</v>
      </c>
      <c r="L27" s="86">
        <f>'D&amp;A Schedule'!K29</f>
        <v>-990.29189547290935</v>
      </c>
    </row>
    <row r="28" spans="2:12" s="56" customFormat="1" ht="13.2">
      <c r="C28" s="121" t="s">
        <v>7</v>
      </c>
      <c r="E28" s="915">
        <f t="shared" ref="E28:G28" si="5">E18-E27</f>
        <v>6100</v>
      </c>
      <c r="F28" s="915">
        <f t="shared" si="5"/>
        <v>6357</v>
      </c>
      <c r="G28" s="915">
        <f t="shared" si="5"/>
        <v>7028</v>
      </c>
      <c r="H28" s="915">
        <f>H18-H27</f>
        <v>7146.8349644603468</v>
      </c>
      <c r="I28" s="915">
        <f>I18-I27</f>
        <v>7104.3206789734631</v>
      </c>
      <c r="J28" s="915">
        <f>J18-J27</f>
        <v>7245.4197998950849</v>
      </c>
      <c r="K28" s="915">
        <f>K18-K27</f>
        <v>7545.2306702016103</v>
      </c>
      <c r="L28" s="915">
        <f>L18-L27</f>
        <v>7904.175177954181</v>
      </c>
    </row>
    <row r="29" spans="2:12" s="56" customFormat="1" ht="13.2">
      <c r="E29" s="87"/>
      <c r="F29" s="87"/>
      <c r="G29" s="280"/>
      <c r="H29" s="280"/>
      <c r="I29" s="280"/>
      <c r="J29" s="280"/>
      <c r="K29" s="280"/>
    </row>
    <row r="30" spans="2:12" s="56" customFormat="1" ht="13.2">
      <c r="B30" s="233" t="s">
        <v>223</v>
      </c>
      <c r="C30" s="88"/>
      <c r="D30" s="88"/>
      <c r="E30" s="104"/>
      <c r="F30" s="104"/>
      <c r="G30" s="104"/>
      <c r="H30" s="104"/>
      <c r="I30" s="104"/>
      <c r="J30" s="104"/>
      <c r="K30" s="104"/>
      <c r="L30" s="105"/>
    </row>
    <row r="31" spans="2:12" s="56" customFormat="1" ht="13.2">
      <c r="B31" s="25"/>
      <c r="C31" s="125" t="s">
        <v>207</v>
      </c>
      <c r="E31" s="281"/>
      <c r="F31" s="282">
        <f>(F8/E8)-1</f>
        <v>6.8052803063383793E-2</v>
      </c>
      <c r="G31" s="282">
        <f t="shared" ref="G31:L31" si="6">(G8/F8)-1</f>
        <v>4.3243073245903707E-2</v>
      </c>
      <c r="H31" s="282">
        <f t="shared" si="6"/>
        <v>3.4477453273845438E-2</v>
      </c>
      <c r="I31" s="282">
        <f t="shared" si="6"/>
        <v>4.0016760241909477E-2</v>
      </c>
      <c r="J31" s="282">
        <f t="shared" si="6"/>
        <v>4.5663156151705353E-2</v>
      </c>
      <c r="K31" s="282">
        <f t="shared" si="6"/>
        <v>5.1578239763093281E-2</v>
      </c>
      <c r="L31" s="283">
        <f t="shared" si="6"/>
        <v>5.1566006805104925E-2</v>
      </c>
    </row>
    <row r="32" spans="2:12" s="56" customFormat="1" ht="13.2">
      <c r="B32" s="25"/>
      <c r="C32" s="125" t="s">
        <v>211</v>
      </c>
      <c r="E32" s="234">
        <f t="shared" ref="E32:L32" si="7">-(E9/E8)</f>
        <v>0.48318833764401597</v>
      </c>
      <c r="F32" s="234">
        <f t="shared" si="7"/>
        <v>0.49366292417523666</v>
      </c>
      <c r="G32" s="234">
        <f t="shared" si="7"/>
        <v>0.48194260219462198</v>
      </c>
      <c r="H32" s="234">
        <f t="shared" si="7"/>
        <v>0.49210323117631227</v>
      </c>
      <c r="I32" s="234">
        <f t="shared" si="7"/>
        <v>0.50155867192520931</v>
      </c>
      <c r="J32" s="234">
        <f t="shared" si="7"/>
        <v>0.50843542599065195</v>
      </c>
      <c r="K32" s="234">
        <f t="shared" si="7"/>
        <v>0.51250732581867364</v>
      </c>
      <c r="L32" s="235">
        <f t="shared" si="7"/>
        <v>0.51661784600505856</v>
      </c>
    </row>
    <row r="33" spans="2:13" s="56" customFormat="1" ht="13.2">
      <c r="B33" s="25"/>
      <c r="C33" s="125" t="s">
        <v>212</v>
      </c>
      <c r="E33" s="234">
        <f t="shared" ref="E33:L33" si="8">-(E10/E8)</f>
        <v>5.6497934231298917E-2</v>
      </c>
      <c r="F33" s="234">
        <f t="shared" si="8"/>
        <v>4.5350190269522285E-2</v>
      </c>
      <c r="G33" s="234">
        <f t="shared" si="8"/>
        <v>5.1850958639816716E-2</v>
      </c>
      <c r="H33" s="234">
        <f t="shared" si="8"/>
        <v>5.3080797969579749E-2</v>
      </c>
      <c r="I33" s="234">
        <f t="shared" si="8"/>
        <v>5.4100710679573137E-2</v>
      </c>
      <c r="J33" s="234">
        <f t="shared" si="8"/>
        <v>5.4842472915845597E-2</v>
      </c>
      <c r="K33" s="234">
        <f t="shared" si="8"/>
        <v>5.5281689077070421E-2</v>
      </c>
      <c r="L33" s="235">
        <f t="shared" si="8"/>
        <v>5.5725071029759141E-2</v>
      </c>
    </row>
    <row r="34" spans="2:13" s="56" customFormat="1" ht="13.2">
      <c r="B34" s="25"/>
      <c r="C34" s="125" t="s">
        <v>213</v>
      </c>
      <c r="E34" s="91"/>
      <c r="F34" s="234">
        <f t="shared" ref="F34:L34" si="9">(F11/E11)-1</f>
        <v>-7.8686816050026032E-2</v>
      </c>
      <c r="G34" s="234">
        <f t="shared" si="9"/>
        <v>-3.6199095022624417E-2</v>
      </c>
      <c r="H34" s="234">
        <f t="shared" si="9"/>
        <v>2.7053984788732333E-2</v>
      </c>
      <c r="I34" s="234">
        <f t="shared" si="9"/>
        <v>4.0016760241909477E-2</v>
      </c>
      <c r="J34" s="234">
        <f t="shared" si="9"/>
        <v>4.5663156151705575E-2</v>
      </c>
      <c r="K34" s="234">
        <f t="shared" si="9"/>
        <v>5.1578239763093281E-2</v>
      </c>
      <c r="L34" s="235">
        <f t="shared" si="9"/>
        <v>5.1566006805104925E-2</v>
      </c>
    </row>
    <row r="35" spans="2:13" s="56" customFormat="1" ht="13.2">
      <c r="B35" s="25"/>
      <c r="C35" s="125" t="s">
        <v>215</v>
      </c>
      <c r="E35" s="91"/>
      <c r="F35" s="234">
        <f t="shared" ref="F35:L37" si="10">(F14/E14)-1</f>
        <v>0.10613598673300162</v>
      </c>
      <c r="G35" s="234">
        <f t="shared" si="10"/>
        <v>0.14092953523238383</v>
      </c>
      <c r="H35" s="234">
        <f t="shared" si="10"/>
        <v>3.7136372982917276E-2</v>
      </c>
      <c r="I35" s="234">
        <f t="shared" si="10"/>
        <v>4.0016760241909477E-2</v>
      </c>
      <c r="J35" s="234">
        <f t="shared" si="10"/>
        <v>4.5663156151705353E-2</v>
      </c>
      <c r="K35" s="234">
        <f t="shared" si="10"/>
        <v>5.1578239763093503E-2</v>
      </c>
      <c r="L35" s="235">
        <f t="shared" si="10"/>
        <v>5.1566006805104925E-2</v>
      </c>
    </row>
    <row r="36" spans="2:13" s="56" customFormat="1" ht="13.2">
      <c r="B36" s="25"/>
      <c r="C36" s="125" t="s">
        <v>214</v>
      </c>
      <c r="E36" s="91"/>
      <c r="F36" s="234">
        <f t="shared" si="10"/>
        <v>2.0181634712410634E-3</v>
      </c>
      <c r="G36" s="234">
        <f t="shared" si="10"/>
        <v>4.1624706277274326E-2</v>
      </c>
      <c r="H36" s="234">
        <f t="shared" si="10"/>
        <v>3.0000000000000027E-2</v>
      </c>
      <c r="I36" s="234">
        <f t="shared" si="10"/>
        <v>3.0000000000000027E-2</v>
      </c>
      <c r="J36" s="234">
        <f t="shared" si="10"/>
        <v>3.0000000000000027E-2</v>
      </c>
      <c r="K36" s="234">
        <f t="shared" si="10"/>
        <v>3.0000000000000027E-2</v>
      </c>
      <c r="L36" s="235">
        <f t="shared" si="10"/>
        <v>3.0000000000000027E-2</v>
      </c>
    </row>
    <row r="37" spans="2:13" s="56" customFormat="1" ht="13.2">
      <c r="B37" s="25"/>
      <c r="C37" s="125" t="s">
        <v>216</v>
      </c>
      <c r="E37" s="91"/>
      <c r="F37" s="234">
        <f t="shared" si="10"/>
        <v>4.2739193783390084E-2</v>
      </c>
      <c r="G37" s="234">
        <f t="shared" si="10"/>
        <v>-7.8248719142990253E-2</v>
      </c>
      <c r="H37" s="234">
        <f t="shared" si="10"/>
        <v>2.0000000000000018E-2</v>
      </c>
      <c r="I37" s="234">
        <f t="shared" si="10"/>
        <v>2.0000000000000018E-2</v>
      </c>
      <c r="J37" s="234">
        <f t="shared" si="10"/>
        <v>2.0000000000000018E-2</v>
      </c>
      <c r="K37" s="234">
        <f t="shared" si="10"/>
        <v>2.0000000000000018E-2</v>
      </c>
      <c r="L37" s="235">
        <f t="shared" si="10"/>
        <v>2.0000000000000018E-2</v>
      </c>
    </row>
    <row r="38" spans="2:13" s="56" customFormat="1" ht="13.2">
      <c r="B38" s="25"/>
      <c r="C38" s="125" t="s">
        <v>217</v>
      </c>
      <c r="E38" s="91"/>
      <c r="F38" s="91"/>
      <c r="G38" s="91"/>
      <c r="H38" s="91"/>
      <c r="I38" s="91"/>
      <c r="J38" s="91"/>
      <c r="K38" s="91"/>
      <c r="L38" s="92"/>
    </row>
    <row r="39" spans="2:13" s="56" customFormat="1" ht="13.2">
      <c r="B39" s="25"/>
      <c r="C39" s="125" t="s">
        <v>110</v>
      </c>
      <c r="E39" s="236">
        <f t="shared" ref="E39:L39" si="11">E12/E8</f>
        <v>0.39585502670383932</v>
      </c>
      <c r="F39" s="236">
        <f t="shared" si="11"/>
        <v>0.40538415573796271</v>
      </c>
      <c r="G39" s="236">
        <f t="shared" si="11"/>
        <v>0.41483781502471967</v>
      </c>
      <c r="H39" s="236">
        <f t="shared" si="11"/>
        <v>0.40381597085410798</v>
      </c>
      <c r="I39" s="236">
        <f t="shared" si="11"/>
        <v>0.39334061739521758</v>
      </c>
      <c r="J39" s="236">
        <f t="shared" si="11"/>
        <v>0.38572210109350252</v>
      </c>
      <c r="K39" s="236">
        <f t="shared" si="11"/>
        <v>0.38121098510425588</v>
      </c>
      <c r="L39" s="237">
        <f t="shared" si="11"/>
        <v>0.37665708296518224</v>
      </c>
    </row>
    <row r="40" spans="2:13" s="56" customFormat="1" ht="13.2">
      <c r="B40" s="93"/>
      <c r="C40" s="125" t="s">
        <v>107</v>
      </c>
      <c r="E40" s="236">
        <f t="shared" ref="E40:L40" si="12">E28/E8</f>
        <v>0.2048973833596453</v>
      </c>
      <c r="F40" s="236">
        <f t="shared" si="12"/>
        <v>0.19992452118124351</v>
      </c>
      <c r="G40" s="236">
        <f t="shared" si="12"/>
        <v>0.21186542867478597</v>
      </c>
      <c r="H40" s="236">
        <f t="shared" si="12"/>
        <v>0.20826729058538895</v>
      </c>
      <c r="I40" s="236">
        <f t="shared" si="12"/>
        <v>0.19906253585470191</v>
      </c>
      <c r="J40" s="236">
        <f t="shared" si="12"/>
        <v>0.19415059382245664</v>
      </c>
      <c r="K40" s="236">
        <f t="shared" si="12"/>
        <v>0.19226759784431743</v>
      </c>
      <c r="L40" s="237">
        <f t="shared" si="12"/>
        <v>0.19153740412883929</v>
      </c>
      <c r="M40" s="23"/>
    </row>
    <row r="41" spans="2:13" s="56" customFormat="1" ht="13.2">
      <c r="B41" s="93"/>
      <c r="C41" s="125" t="s">
        <v>108</v>
      </c>
      <c r="E41" s="236">
        <f t="shared" ref="E41:L41" si="13">E18/E8</f>
        <v>0.16888918746431092</v>
      </c>
      <c r="F41" s="236">
        <f t="shared" si="13"/>
        <v>0.16746862911595434</v>
      </c>
      <c r="G41" s="236">
        <f t="shared" si="13"/>
        <v>0.1828349210177258</v>
      </c>
      <c r="H41" s="236">
        <f t="shared" si="13"/>
        <v>0.18285427066128462</v>
      </c>
      <c r="I41" s="236">
        <f t="shared" si="13"/>
        <v>0.17440811737771317</v>
      </c>
      <c r="J41" s="236">
        <f t="shared" si="13"/>
        <v>0.16958718732192876</v>
      </c>
      <c r="K41" s="236">
        <f t="shared" si="13"/>
        <v>0.16863041474572588</v>
      </c>
      <c r="L41" s="237">
        <f t="shared" si="13"/>
        <v>0.16754022103024777</v>
      </c>
    </row>
    <row r="42" spans="2:13" s="56" customFormat="1" ht="13.2">
      <c r="B42" s="94"/>
      <c r="C42" s="238" t="s">
        <v>109</v>
      </c>
      <c r="D42" s="95"/>
      <c r="E42" s="24"/>
      <c r="F42" s="24"/>
      <c r="G42" s="50"/>
      <c r="H42" s="239">
        <f ca="1">'IS Pro Forma'!H25/BS!H44</f>
        <v>0.18288729723395852</v>
      </c>
      <c r="I42" s="239">
        <f ca="1">'IS Pro Forma'!I25/BS!I44</f>
        <v>0.1796138034242199</v>
      </c>
      <c r="J42" s="239">
        <f ca="1">'IS Pro Forma'!J25/BS!J44</f>
        <v>0.18169360235547291</v>
      </c>
      <c r="K42" s="239">
        <f ca="1">'IS Pro Forma'!K25/BS!K44</f>
        <v>0.18737703995701147</v>
      </c>
      <c r="L42" s="240">
        <f ca="1">'IS Pro Forma'!L25/BS!L44</f>
        <v>0.1906431137051891</v>
      </c>
    </row>
    <row r="43" spans="2:13" s="56" customFormat="1" ht="13.2"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</row>
    <row r="44" spans="2:13" s="56" customFormat="1" ht="13.2"/>
    <row r="45" spans="2:13" s="56" customFormat="1" ht="13.2"/>
    <row r="52" spans="15:16">
      <c r="O52" s="61"/>
      <c r="P52" s="61"/>
    </row>
    <row r="53" spans="15:16">
      <c r="O53" s="61"/>
      <c r="P53" s="61"/>
    </row>
  </sheetData>
  <printOptions horizontalCentered="1"/>
  <pageMargins left="0.7" right="0.7" top="0.75" bottom="0.75" header="0.3" footer="0.3"/>
  <pageSetup scale="86" fitToHeight="0" orientation="landscape" r:id="rId1"/>
  <headerFooter differentOddEven="1">
    <oddFooter>&amp;L&amp;"Arial"&amp;8Tyler Spencer&amp;C&amp;"Arial"&amp;8&amp;INot associated with PayPal. For educational purposes only.&amp;R&amp;"Arial"&amp;8Page &amp;P</oddFooter>
    <evenFooter>&amp;L&amp;"Arial"&amp;8Tyler Spencer&amp;C&amp;"Arial"&amp;8&amp;INot associated with PayPal. For educational purposes only.&amp;R&amp;"Arial"&amp;8Page &amp;P</evenFooter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B3577-8F20-4AED-BEE5-4B86AAC7BC0F}">
  <sheetPr>
    <pageSetUpPr fitToPage="1"/>
  </sheetPr>
  <dimension ref="A1:L50"/>
  <sheetViews>
    <sheetView topLeftCell="B26" workbookViewId="0">
      <selection activeCell="I9" sqref="I9"/>
    </sheetView>
  </sheetViews>
  <sheetFormatPr defaultColWidth="9.109375" defaultRowHeight="13.8"/>
  <cols>
    <col min="1" max="1" width="2.6640625" style="55" customWidth="1"/>
    <col min="2" max="2" width="3.6640625" style="56" customWidth="1"/>
    <col min="3" max="3" width="29.88671875" style="56" customWidth="1"/>
    <col min="4" max="4" width="6.5546875" style="56" customWidth="1"/>
    <col min="5" max="12" width="12.33203125" style="56" customWidth="1"/>
    <col min="13" max="16384" width="9.109375" style="56"/>
  </cols>
  <sheetData>
    <row r="1" spans="1:12" ht="13.2">
      <c r="A1" s="56"/>
      <c r="I1" s="218"/>
      <c r="L1" s="725" t="str">
        <f>"CURRENTLY RUNNING: "&amp;UPPER(CHOOSE(Scenarios!$C$6,Scenarios!B10,Scenarios!B11,Scenarios!B12))&amp;" SCENARIO"</f>
        <v>CURRENTLY RUNNING: BASE CASE SCENARIO</v>
      </c>
    </row>
    <row r="2" spans="1:12" s="55" customFormat="1" ht="22.8">
      <c r="B2" s="201" t="str">
        <f>Cover!$B$7</f>
        <v>PayPal</v>
      </c>
      <c r="C2" s="57"/>
      <c r="D2" s="58"/>
      <c r="E2" s="58"/>
      <c r="F2" s="58"/>
      <c r="G2" s="58"/>
      <c r="H2" s="58"/>
      <c r="I2" s="58"/>
      <c r="J2" s="58"/>
      <c r="K2" s="58"/>
      <c r="L2" s="59"/>
    </row>
    <row r="3" spans="1:12" s="55" customFormat="1" ht="18" thickBot="1">
      <c r="B3" s="219" t="s">
        <v>379</v>
      </c>
      <c r="C3" s="3"/>
      <c r="D3" s="4"/>
      <c r="E3" s="4"/>
      <c r="F3" s="4"/>
      <c r="G3" s="4"/>
      <c r="H3" s="4"/>
      <c r="I3" s="4"/>
      <c r="J3" s="4"/>
      <c r="K3" s="4"/>
      <c r="L3" s="4"/>
    </row>
    <row r="4" spans="1:12">
      <c r="B4" s="220" t="s">
        <v>93</v>
      </c>
      <c r="C4" s="6"/>
      <c r="D4" s="74"/>
      <c r="E4" s="74"/>
      <c r="F4" s="74"/>
      <c r="G4" s="74"/>
      <c r="H4" s="74"/>
      <c r="I4" s="74"/>
      <c r="J4" s="74"/>
      <c r="K4" s="74"/>
      <c r="L4" s="74"/>
    </row>
    <row r="5" spans="1:12" ht="13.2">
      <c r="A5" s="56"/>
      <c r="H5" s="202" t="s">
        <v>94</v>
      </c>
      <c r="I5" s="75"/>
      <c r="J5" s="75"/>
      <c r="K5" s="75"/>
      <c r="L5" s="75"/>
    </row>
    <row r="6" spans="1:12" ht="13.2">
      <c r="A6" s="56"/>
      <c r="F6" s="221">
        <f>G6-1</f>
        <v>2024</v>
      </c>
      <c r="G6" s="221">
        <v>2025</v>
      </c>
      <c r="H6" s="222">
        <f>G6+1</f>
        <v>2026</v>
      </c>
      <c r="I6" s="222">
        <f>H6+1</f>
        <v>2027</v>
      </c>
      <c r="J6" s="222">
        <f>I6+1</f>
        <v>2028</v>
      </c>
      <c r="K6" s="222">
        <f>J6+1</f>
        <v>2029</v>
      </c>
      <c r="L6" s="222">
        <f>K6+1</f>
        <v>2030</v>
      </c>
    </row>
    <row r="7" spans="1:12">
      <c r="B7" s="121" t="s">
        <v>622</v>
      </c>
    </row>
    <row r="8" spans="1:12">
      <c r="C8" s="125" t="s">
        <v>239</v>
      </c>
      <c r="F8" s="939">
        <v>10924</v>
      </c>
      <c r="G8" s="939">
        <v>10422</v>
      </c>
      <c r="H8" s="940">
        <f ca="1">'CFS Pro Forma'!H34</f>
        <v>1000</v>
      </c>
      <c r="I8" s="940">
        <f ca="1">'CFS Pro Forma'!I34</f>
        <v>1000</v>
      </c>
      <c r="J8" s="940">
        <f ca="1">'CFS Pro Forma'!J34</f>
        <v>1000</v>
      </c>
      <c r="K8" s="940">
        <f ca="1">'CFS Pro Forma'!K34</f>
        <v>1000</v>
      </c>
      <c r="L8" s="940">
        <f ca="1">'CFS Pro Forma'!L34</f>
        <v>1000</v>
      </c>
    </row>
    <row r="9" spans="1:12">
      <c r="C9" s="125" t="s">
        <v>121</v>
      </c>
      <c r="F9" s="36">
        <v>984</v>
      </c>
      <c r="G9" s="36">
        <v>840</v>
      </c>
      <c r="H9" s="99">
        <f>'Working Capital Schedule'!H21</f>
        <v>864.94332037260267</v>
      </c>
      <c r="I9" s="99">
        <f>'Working Capital Schedule'!I21</f>
        <v>899.55554984679429</v>
      </c>
      <c r="J9" s="99">
        <f>'Working Capital Schedule'!J21</f>
        <v>938.06206233907733</v>
      </c>
      <c r="K9" s="99">
        <f>'Working Capital Schedule'!K21</f>
        <v>989.14824313129168</v>
      </c>
      <c r="L9" s="99">
        <f>'Working Capital Schedule'!L21</f>
        <v>1040.1546681678574</v>
      </c>
    </row>
    <row r="10" spans="1:12">
      <c r="C10" s="125" t="s">
        <v>122</v>
      </c>
      <c r="F10" s="36">
        <v>541</v>
      </c>
      <c r="G10" s="36">
        <v>1726</v>
      </c>
      <c r="H10" s="127">
        <f>(G10/'IS Pro Forma'!G8)*'IS Pro Forma'!H8</f>
        <v>1785.5080843506573</v>
      </c>
      <c r="I10" s="127">
        <f>(H10/'IS Pro Forma'!H8)*'IS Pro Forma'!I8</f>
        <v>1856.9583332721088</v>
      </c>
      <c r="J10" s="127">
        <f>(I10/'IS Pro Forma'!I8)*'IS Pro Forma'!J8</f>
        <v>1941.7529116115238</v>
      </c>
      <c r="K10" s="127">
        <f>(J10/'IS Pro Forma'!J8)*'IS Pro Forma'!K8</f>
        <v>2041.9051088473075</v>
      </c>
      <c r="L10" s="127">
        <f>(K10/'IS Pro Forma'!K8)*'IS Pro Forma'!L8</f>
        <v>2147.1980015855061</v>
      </c>
    </row>
    <row r="11" spans="1:12">
      <c r="C11" s="125" t="s">
        <v>123</v>
      </c>
      <c r="F11" s="36">
        <v>6422</v>
      </c>
      <c r="G11" s="36">
        <v>6746</v>
      </c>
      <c r="H11" s="127">
        <f>G11*('IS Pro Forma'!H8/'IS Pro Forma'!G8)</f>
        <v>6978.5848997853609</v>
      </c>
      <c r="I11" s="127">
        <f>H11*('IS Pro Forma'!I8/'IS Pro Forma'!H8)</f>
        <v>7257.8452585478817</v>
      </c>
      <c r="J11" s="127">
        <f>I11*('IS Pro Forma'!J8/'IS Pro Forma'!I8)</f>
        <v>7589.261379913868</v>
      </c>
      <c r="K11" s="127">
        <f>J11*('IS Pro Forma'!K8/'IS Pro Forma'!J8)</f>
        <v>7980.70212299185</v>
      </c>
      <c r="L11" s="127">
        <f>K11*('IS Pro Forma'!L8/'IS Pro Forma'!K8)</f>
        <v>8392.2350629755638</v>
      </c>
    </row>
    <row r="12" spans="1:12">
      <c r="C12" s="125" t="s">
        <v>124</v>
      </c>
      <c r="F12" s="36">
        <v>37671</v>
      </c>
      <c r="G12" s="36">
        <v>38198</v>
      </c>
      <c r="H12" s="99">
        <f>'Working Capital Schedule'!H31</f>
        <v>39514.969760154345</v>
      </c>
      <c r="I12" s="99">
        <f>'Working Capital Schedule'!I31</f>
        <v>41096.230831012741</v>
      </c>
      <c r="J12" s="99">
        <f>'Working Capital Schedule'!J31</f>
        <v>42972.8144366958</v>
      </c>
      <c r="K12" s="99">
        <f>'Working Capital Schedule'!K31</f>
        <v>45189.276563006613</v>
      </c>
      <c r="L12" s="99">
        <f>'Working Capital Schedule'!L31</f>
        <v>47519.507105772384</v>
      </c>
    </row>
    <row r="13" spans="1:12">
      <c r="C13" s="125" t="s">
        <v>125</v>
      </c>
      <c r="F13" s="36">
        <v>1664</v>
      </c>
      <c r="G13" s="36">
        <v>1827</v>
      </c>
      <c r="H13" s="86">
        <f>'Working Capital Schedule'!H22</f>
        <v>1928.1401678321974</v>
      </c>
      <c r="I13" s="86">
        <f>'Working Capital Schedule'!I22</f>
        <v>2040.5325237405875</v>
      </c>
      <c r="J13" s="86">
        <f>'Working Capital Schedule'!J22</f>
        <v>2154.6020944342963</v>
      </c>
      <c r="K13" s="86">
        <f>'Working Capital Schedule'!K22</f>
        <v>2288.6247720853848</v>
      </c>
      <c r="L13" s="86">
        <f>'Working Capital Schedule'!L22</f>
        <v>2424.3513857386793</v>
      </c>
    </row>
    <row r="14" spans="1:12">
      <c r="C14" s="227" t="s">
        <v>112</v>
      </c>
      <c r="F14" s="907">
        <f t="shared" ref="F14:L14" si="0">SUM(F8:F13)</f>
        <v>58206</v>
      </c>
      <c r="G14" s="907">
        <f t="shared" si="0"/>
        <v>59759</v>
      </c>
      <c r="H14" s="907">
        <f t="shared" ca="1" si="0"/>
        <v>52072.146232495164</v>
      </c>
      <c r="I14" s="907">
        <f t="shared" ca="1" si="0"/>
        <v>54151.12249642011</v>
      </c>
      <c r="J14" s="907">
        <f t="shared" ca="1" si="0"/>
        <v>56596.492884994565</v>
      </c>
      <c r="K14" s="907">
        <f t="shared" ca="1" si="0"/>
        <v>59489.65681006245</v>
      </c>
      <c r="L14" s="907">
        <f t="shared" ca="1" si="0"/>
        <v>62523.44622423999</v>
      </c>
    </row>
    <row r="15" spans="1:12">
      <c r="F15" s="76"/>
      <c r="G15" s="76"/>
      <c r="H15" s="76"/>
      <c r="I15" s="76"/>
      <c r="J15" s="76"/>
      <c r="K15" s="76"/>
      <c r="L15" s="76"/>
    </row>
    <row r="16" spans="1:12">
      <c r="C16" s="125" t="s">
        <v>126</v>
      </c>
      <c r="F16" s="31">
        <v>4583</v>
      </c>
      <c r="G16" s="31">
        <v>4330</v>
      </c>
      <c r="H16" s="127">
        <f>G16</f>
        <v>4330</v>
      </c>
      <c r="I16" s="127">
        <f t="shared" ref="I16:L16" si="1">H16</f>
        <v>4330</v>
      </c>
      <c r="J16" s="127">
        <f t="shared" si="1"/>
        <v>4330</v>
      </c>
      <c r="K16" s="127">
        <f t="shared" si="1"/>
        <v>4330</v>
      </c>
      <c r="L16" s="127">
        <f t="shared" si="1"/>
        <v>4330</v>
      </c>
    </row>
    <row r="17" spans="2:12">
      <c r="C17" s="125" t="s">
        <v>224</v>
      </c>
      <c r="F17" s="31">
        <v>1508</v>
      </c>
      <c r="G17" s="31">
        <v>1700</v>
      </c>
      <c r="H17" s="149">
        <f>'D&amp;A Schedule'!G25</f>
        <v>1749.5112518596507</v>
      </c>
      <c r="I17" s="149">
        <f>'D&amp;A Schedule'!H25</f>
        <v>1788.1557836957818</v>
      </c>
      <c r="J17" s="149">
        <f>'D&amp;A Schedule'!I25</f>
        <v>1815.1302666785775</v>
      </c>
      <c r="K17" s="149">
        <f>'D&amp;A Schedule'!J25</f>
        <v>1829.3684287135097</v>
      </c>
      <c r="L17" s="149">
        <f>'D&amp;A Schedule'!K25</f>
        <v>1829.4846738004298</v>
      </c>
    </row>
    <row r="18" spans="2:12">
      <c r="C18" s="125" t="s">
        <v>86</v>
      </c>
      <c r="F18" s="36">
        <v>10837</v>
      </c>
      <c r="G18" s="36">
        <v>10864</v>
      </c>
      <c r="H18" s="241">
        <f>LBO!D35-(G45-G18)</f>
        <v>36911</v>
      </c>
      <c r="I18" s="127">
        <f>H18</f>
        <v>36911</v>
      </c>
      <c r="J18" s="127">
        <f t="shared" ref="J18:L18" si="2">I18</f>
        <v>36911</v>
      </c>
      <c r="K18" s="127">
        <f t="shared" si="2"/>
        <v>36911</v>
      </c>
      <c r="L18" s="127">
        <f t="shared" si="2"/>
        <v>36911</v>
      </c>
    </row>
    <row r="19" spans="2:12">
      <c r="C19" s="125" t="s">
        <v>127</v>
      </c>
      <c r="F19" s="36">
        <v>326</v>
      </c>
      <c r="G19" s="36">
        <v>208</v>
      </c>
      <c r="H19" s="149">
        <f>'D&amp;A Schedule'!G11</f>
        <v>110</v>
      </c>
      <c r="I19" s="149">
        <f>'D&amp;A Schedule'!H11</f>
        <v>48</v>
      </c>
      <c r="J19" s="149">
        <f>'D&amp;A Schedule'!I11</f>
        <v>0</v>
      </c>
      <c r="K19" s="149">
        <f>'D&amp;A Schedule'!J11</f>
        <v>0</v>
      </c>
      <c r="L19" s="149">
        <f>'D&amp;A Schedule'!K11</f>
        <v>0</v>
      </c>
    </row>
    <row r="20" spans="2:12">
      <c r="C20" s="176" t="s">
        <v>543</v>
      </c>
      <c r="F20" s="30"/>
      <c r="G20" s="30"/>
      <c r="H20" s="149">
        <f>'LBO Debt Schedule'!H62</f>
        <v>376.18285714285713</v>
      </c>
      <c r="I20" s="149">
        <f>'LBO Debt Schedule'!I62</f>
        <v>313.48571428571427</v>
      </c>
      <c r="J20" s="149">
        <f>'LBO Debt Schedule'!J62</f>
        <v>250.7885714285714</v>
      </c>
      <c r="K20" s="149">
        <f>'LBO Debt Schedule'!K62</f>
        <v>188.09142857142854</v>
      </c>
      <c r="L20" s="149">
        <f>'LBO Debt Schedule'!L62</f>
        <v>125.39428571428567</v>
      </c>
    </row>
    <row r="21" spans="2:12">
      <c r="C21" s="176" t="s">
        <v>128</v>
      </c>
      <c r="F21" s="163">
        <v>3265</v>
      </c>
      <c r="G21" s="163">
        <v>3312</v>
      </c>
      <c r="H21" s="251">
        <f>('BS Pro Forma'!G21/'IS Pro Forma'!G8)*'IS Pro Forma'!H8</f>
        <v>3426.1893252429763</v>
      </c>
      <c r="I21" s="251">
        <f>('BS Pro Forma'!H21/'IS Pro Forma'!H8)*'IS Pro Forma'!I8</f>
        <v>3563.2943220146144</v>
      </c>
      <c r="J21" s="251">
        <f>('BS Pro Forma'!I21/'IS Pro Forma'!I8)*'IS Pro Forma'!J8</f>
        <v>3726.0055870552528</v>
      </c>
      <c r="K21" s="251">
        <f>('BS Pro Forma'!J21/'IS Pro Forma'!J8)*'IS Pro Forma'!K8</f>
        <v>3918.1863965830139</v>
      </c>
      <c r="L21" s="251">
        <f>('BS Pro Forma'!K21/'IS Pro Forma'!K8)*'IS Pro Forma'!L8</f>
        <v>4120.2316229728831</v>
      </c>
    </row>
    <row r="22" spans="2:12">
      <c r="C22" s="229" t="s">
        <v>113</v>
      </c>
      <c r="F22" s="941">
        <f>SUM(F16:F21)</f>
        <v>20519</v>
      </c>
      <c r="G22" s="941">
        <f t="shared" ref="G22:H22" si="3">SUM(G16:G21)</f>
        <v>20414</v>
      </c>
      <c r="H22" s="941">
        <f t="shared" si="3"/>
        <v>46902.883434245479</v>
      </c>
      <c r="I22" s="941">
        <f t="shared" ref="I22" si="4">SUM(I16:I21)</f>
        <v>46953.935819996106</v>
      </c>
      <c r="J22" s="941">
        <f t="shared" ref="J22" si="5">SUM(J16:J21)</f>
        <v>47032.924425162404</v>
      </c>
      <c r="K22" s="941">
        <f t="shared" ref="K22" si="6">SUM(K16:K21)</f>
        <v>47176.646253867955</v>
      </c>
      <c r="L22" s="941">
        <f t="shared" ref="L22" si="7">SUM(L16:L21)</f>
        <v>47316.110582487592</v>
      </c>
    </row>
    <row r="23" spans="2:12">
      <c r="C23" s="77"/>
      <c r="F23" s="76"/>
      <c r="G23" s="76"/>
      <c r="H23" s="76"/>
      <c r="I23" s="76"/>
      <c r="J23" s="76"/>
      <c r="K23" s="76"/>
      <c r="L23" s="76"/>
    </row>
    <row r="24" spans="2:12" ht="14.4" thickBot="1">
      <c r="C24" s="121" t="s">
        <v>69</v>
      </c>
      <c r="F24" s="919">
        <f>F22+F14</f>
        <v>78725</v>
      </c>
      <c r="G24" s="919">
        <f t="shared" ref="G24:L24" si="8">G22+G14</f>
        <v>80173</v>
      </c>
      <c r="H24" s="919">
        <f t="shared" ca="1" si="8"/>
        <v>98975.029666740651</v>
      </c>
      <c r="I24" s="919">
        <f t="shared" ca="1" si="8"/>
        <v>101105.05831641622</v>
      </c>
      <c r="J24" s="919">
        <f t="shared" ca="1" si="8"/>
        <v>103629.41731015698</v>
      </c>
      <c r="K24" s="919">
        <f t="shared" ca="1" si="8"/>
        <v>106666.30306393041</v>
      </c>
      <c r="L24" s="919">
        <f t="shared" ca="1" si="8"/>
        <v>109839.55680672757</v>
      </c>
    </row>
    <row r="25" spans="2:12" ht="14.4" thickTop="1">
      <c r="F25" s="76"/>
      <c r="G25" s="76"/>
      <c r="H25" s="76"/>
      <c r="I25" s="76"/>
      <c r="J25" s="76"/>
      <c r="K25" s="76"/>
      <c r="L25" s="76"/>
    </row>
    <row r="26" spans="2:12">
      <c r="F26" s="76"/>
      <c r="G26" s="76"/>
      <c r="H26" s="76"/>
      <c r="I26" s="76"/>
      <c r="J26" s="76"/>
      <c r="K26" s="76"/>
      <c r="L26" s="76"/>
    </row>
    <row r="27" spans="2:12">
      <c r="B27" s="227" t="s">
        <v>623</v>
      </c>
      <c r="F27" s="76"/>
      <c r="G27" s="76"/>
      <c r="H27" s="76"/>
      <c r="I27" s="76"/>
      <c r="J27" s="76"/>
      <c r="K27" s="76"/>
      <c r="L27" s="76"/>
    </row>
    <row r="28" spans="2:12">
      <c r="C28" s="176" t="s">
        <v>114</v>
      </c>
      <c r="F28" s="922">
        <v>227</v>
      </c>
      <c r="G28" s="922">
        <v>240</v>
      </c>
      <c r="H28" s="909">
        <f>'Working Capital Schedule'!H23</f>
        <v>252.22763823386305</v>
      </c>
      <c r="I28" s="909">
        <f>'Working Capital Schedule'!I23</f>
        <v>266.93012665211177</v>
      </c>
      <c r="J28" s="909">
        <f>'Working Capital Schedule'!J23</f>
        <v>281.85201816727715</v>
      </c>
      <c r="K28" s="909">
        <f>'Working Capital Schedule'!K23</f>
        <v>299.38405448791372</v>
      </c>
      <c r="L28" s="909">
        <f>'Working Capital Schedule'!L23</f>
        <v>317.13898941349004</v>
      </c>
    </row>
    <row r="29" spans="2:12">
      <c r="C29" s="176" t="s">
        <v>129</v>
      </c>
      <c r="F29" s="31">
        <v>39671</v>
      </c>
      <c r="G29" s="31">
        <v>40198</v>
      </c>
      <c r="H29" s="230">
        <f>-'Working Capital Schedule'!H32</f>
        <v>41583.924666702042</v>
      </c>
      <c r="I29" s="230">
        <f>-'Working Capital Schedule'!I32</f>
        <v>43247.978610007085</v>
      </c>
      <c r="J29" s="230">
        <f>-'Working Capital Schedule'!J32</f>
        <v>45222.817810521454</v>
      </c>
      <c r="K29" s="230">
        <f>-'Working Capital Schedule'!K32</f>
        <v>47555.331150315214</v>
      </c>
      <c r="L29" s="230">
        <f>-'Working Capital Schedule'!L32</f>
        <v>50007.569680031389</v>
      </c>
    </row>
    <row r="30" spans="2:12">
      <c r="C30" s="176" t="s">
        <v>130</v>
      </c>
      <c r="F30" s="243">
        <f>5592-1191</f>
        <v>4401</v>
      </c>
      <c r="G30" s="243">
        <f>6005-1396</f>
        <v>4609</v>
      </c>
      <c r="H30" s="54">
        <f>'Working Capital Schedule'!H24</f>
        <v>4859.5858299724277</v>
      </c>
      <c r="I30" s="54">
        <f>'Working Capital Schedule'!I24</f>
        <v>5142.8537734973534</v>
      </c>
      <c r="J30" s="54">
        <f>'Working Capital Schedule'!J24</f>
        <v>5430.348883356206</v>
      </c>
      <c r="K30" s="54">
        <f>'Working Capital Schedule'!K24</f>
        <v>5768.1327831338049</v>
      </c>
      <c r="L30" s="54">
        <f>'Working Capital Schedule'!L24</f>
        <v>6110.2111960332422</v>
      </c>
    </row>
    <row r="31" spans="2:12">
      <c r="C31" s="176" t="s">
        <v>229</v>
      </c>
      <c r="F31" s="163">
        <v>1191</v>
      </c>
      <c r="G31" s="163">
        <v>1396</v>
      </c>
      <c r="H31" s="76"/>
      <c r="I31" s="76"/>
      <c r="J31" s="76"/>
      <c r="K31" s="76"/>
      <c r="L31" s="76"/>
    </row>
    <row r="32" spans="2:12">
      <c r="C32" s="227" t="s">
        <v>115</v>
      </c>
      <c r="F32" s="941">
        <f>SUM(F28:F31)</f>
        <v>45490</v>
      </c>
      <c r="G32" s="941">
        <f t="shared" ref="G32:L32" si="9">SUM(G28:G31)</f>
        <v>46443</v>
      </c>
      <c r="H32" s="943">
        <f t="shared" si="9"/>
        <v>46695.73813490833</v>
      </c>
      <c r="I32" s="943">
        <f t="shared" si="9"/>
        <v>48657.76251015655</v>
      </c>
      <c r="J32" s="943">
        <f t="shared" si="9"/>
        <v>50935.018712044941</v>
      </c>
      <c r="K32" s="943">
        <f t="shared" si="9"/>
        <v>53622.847987936933</v>
      </c>
      <c r="L32" s="943">
        <f t="shared" si="9"/>
        <v>56434.919865478121</v>
      </c>
    </row>
    <row r="33" spans="2:12">
      <c r="F33" s="76"/>
      <c r="G33" s="76"/>
      <c r="H33" s="76"/>
      <c r="I33" s="76"/>
      <c r="J33" s="76"/>
      <c r="K33" s="76"/>
      <c r="L33" s="76"/>
    </row>
    <row r="34" spans="2:12">
      <c r="C34" s="125" t="s">
        <v>131</v>
      </c>
      <c r="F34" s="31">
        <v>2939</v>
      </c>
      <c r="G34" s="31">
        <v>3487</v>
      </c>
      <c r="H34" s="127">
        <f>G34*(1+Assumptions!$N$19)</f>
        <v>3696.2200000000003</v>
      </c>
      <c r="I34" s="127">
        <f>H34*(1+Assumptions!$N$19)</f>
        <v>3917.9932000000003</v>
      </c>
      <c r="J34" s="127">
        <f>I34*(1+Assumptions!$N$19)</f>
        <v>4153.0727920000008</v>
      </c>
      <c r="K34" s="127">
        <f>J34*(1+Assumptions!$N$19)</f>
        <v>4402.2571595200016</v>
      </c>
      <c r="L34" s="127">
        <f>K34*(1+Assumptions!$N$19)</f>
        <v>4666.3925890912014</v>
      </c>
    </row>
    <row r="35" spans="2:12">
      <c r="C35" s="176" t="s">
        <v>132</v>
      </c>
      <c r="F35" s="163">
        <v>9879</v>
      </c>
      <c r="G35" s="163">
        <v>9987</v>
      </c>
      <c r="H35" s="54">
        <f ca="1">'LBO Debt Schedule'!H66</f>
        <v>26385.010096577949</v>
      </c>
      <c r="I35" s="54">
        <f ca="1">'LBO Debt Schedule'!I66</f>
        <v>22348.57784359045</v>
      </c>
      <c r="J35" s="54">
        <f ca="1">'LBO Debt Schedule'!J66</f>
        <v>18127.412894997313</v>
      </c>
      <c r="K35" s="54">
        <f ca="1">'LBO Debt Schedule'!K66</f>
        <v>13587.376068240435</v>
      </c>
      <c r="L35" s="54">
        <f ca="1">'LBO Debt Schedule'!L66</f>
        <v>8614.2823674161446</v>
      </c>
    </row>
    <row r="36" spans="2:12">
      <c r="C36" s="229" t="s">
        <v>116</v>
      </c>
      <c r="F36" s="941">
        <f>SUM(F34:F35)</f>
        <v>12818</v>
      </c>
      <c r="G36" s="941">
        <f t="shared" ref="G36:L36" si="10">SUM(G34:G35)</f>
        <v>13474</v>
      </c>
      <c r="H36" s="943">
        <f t="shared" ca="1" si="10"/>
        <v>30081.23009657795</v>
      </c>
      <c r="I36" s="943">
        <f t="shared" ca="1" si="10"/>
        <v>26266.571043590451</v>
      </c>
      <c r="J36" s="943">
        <f t="shared" ca="1" si="10"/>
        <v>22280.485686997315</v>
      </c>
      <c r="K36" s="943">
        <f t="shared" ca="1" si="10"/>
        <v>17989.633227760438</v>
      </c>
      <c r="L36" s="943">
        <f t="shared" ca="1" si="10"/>
        <v>13280.674956507346</v>
      </c>
    </row>
    <row r="37" spans="2:12">
      <c r="C37" s="13"/>
      <c r="F37" s="76"/>
      <c r="G37" s="76"/>
      <c r="H37" s="76"/>
      <c r="I37" s="76"/>
      <c r="J37" s="76"/>
      <c r="K37" s="76"/>
      <c r="L37" s="76"/>
    </row>
    <row r="38" spans="2:12">
      <c r="C38" s="229" t="s">
        <v>70</v>
      </c>
      <c r="F38" s="942">
        <f>F36+F32</f>
        <v>58308</v>
      </c>
      <c r="G38" s="942">
        <f t="shared" ref="G38:L38" si="11">G36+G32</f>
        <v>59917</v>
      </c>
      <c r="H38" s="942">
        <f t="shared" ca="1" si="11"/>
        <v>76776.968231486273</v>
      </c>
      <c r="I38" s="942">
        <f t="shared" ca="1" si="11"/>
        <v>74924.333553746997</v>
      </c>
      <c r="J38" s="942">
        <f t="shared" ca="1" si="11"/>
        <v>73215.504399042256</v>
      </c>
      <c r="K38" s="942">
        <f t="shared" ca="1" si="11"/>
        <v>71612.481215697364</v>
      </c>
      <c r="L38" s="942">
        <f t="shared" ca="1" si="11"/>
        <v>69715.594821985462</v>
      </c>
    </row>
    <row r="39" spans="2:12">
      <c r="F39" s="76"/>
      <c r="G39" s="76"/>
      <c r="H39" s="76"/>
      <c r="I39" s="76"/>
      <c r="J39" s="76"/>
      <c r="K39" s="76"/>
      <c r="L39" s="76"/>
    </row>
    <row r="40" spans="2:12">
      <c r="C40" s="125" t="s">
        <v>133</v>
      </c>
      <c r="F40" s="36">
        <v>-27085</v>
      </c>
      <c r="G40" s="36">
        <v>-33138</v>
      </c>
      <c r="H40" s="143">
        <v>0</v>
      </c>
      <c r="I40" s="127">
        <f>H40</f>
        <v>0</v>
      </c>
      <c r="J40" s="127">
        <f t="shared" ref="J40:L40" si="12">I40</f>
        <v>0</v>
      </c>
      <c r="K40" s="127">
        <f t="shared" si="12"/>
        <v>0</v>
      </c>
      <c r="L40" s="127">
        <f t="shared" si="12"/>
        <v>0</v>
      </c>
    </row>
    <row r="41" spans="2:12">
      <c r="C41" s="125" t="s">
        <v>134</v>
      </c>
      <c r="F41" s="36">
        <v>20705</v>
      </c>
      <c r="G41" s="36">
        <v>21582</v>
      </c>
      <c r="H41" s="143">
        <v>0</v>
      </c>
      <c r="I41" s="127">
        <f>H41</f>
        <v>0</v>
      </c>
      <c r="J41" s="127">
        <f t="shared" ref="J41:L41" si="13">I41</f>
        <v>0</v>
      </c>
      <c r="K41" s="127">
        <f t="shared" si="13"/>
        <v>0</v>
      </c>
      <c r="L41" s="127">
        <f t="shared" si="13"/>
        <v>0</v>
      </c>
    </row>
    <row r="42" spans="2:12">
      <c r="C42" s="125" t="s">
        <v>117</v>
      </c>
      <c r="F42" s="36">
        <v>27347</v>
      </c>
      <c r="G42" s="36">
        <v>32470</v>
      </c>
      <c r="H42" s="127">
        <f ca="1">'IS Pro Forma'!H25-LBO!H51</f>
        <v>2953.1214352543661</v>
      </c>
      <c r="I42" s="127">
        <f ca="1">H42+'IS Pro Forma'!I25</f>
        <v>6935.7847626692255</v>
      </c>
      <c r="J42" s="127">
        <f ca="1">I42+'IS Pro Forma'!J25</f>
        <v>11168.972911114717</v>
      </c>
      <c r="K42" s="127">
        <f ca="1">J42+'IS Pro Forma'!K25</f>
        <v>15808.88184823303</v>
      </c>
      <c r="L42" s="127">
        <f ca="1">K42+'IS Pro Forma'!L25</f>
        <v>20879.021984742121</v>
      </c>
    </row>
    <row r="43" spans="2:12">
      <c r="C43" s="125" t="s">
        <v>135</v>
      </c>
      <c r="F43" s="31">
        <v>-550</v>
      </c>
      <c r="G43" s="31">
        <v>-658</v>
      </c>
      <c r="H43" s="143">
        <v>0</v>
      </c>
      <c r="I43" s="127">
        <f>H43</f>
        <v>0</v>
      </c>
      <c r="J43" s="127">
        <f t="shared" ref="J43:L43" si="14">I43</f>
        <v>0</v>
      </c>
      <c r="K43" s="127">
        <f t="shared" si="14"/>
        <v>0</v>
      </c>
      <c r="L43" s="127">
        <f t="shared" si="14"/>
        <v>0</v>
      </c>
    </row>
    <row r="44" spans="2:12">
      <c r="C44" s="125" t="s">
        <v>382</v>
      </c>
      <c r="F44" s="15"/>
      <c r="G44" s="15"/>
      <c r="H44" s="149">
        <f>LBO!$D$48</f>
        <v>19244.940000000002</v>
      </c>
      <c r="I44" s="149">
        <f>LBO!$D$48</f>
        <v>19244.940000000002</v>
      </c>
      <c r="J44" s="149">
        <f>LBO!$D$48</f>
        <v>19244.940000000002</v>
      </c>
      <c r="K44" s="149">
        <f>LBO!$D$48</f>
        <v>19244.940000000002</v>
      </c>
      <c r="L44" s="149">
        <f>LBO!$D$48</f>
        <v>19244.940000000002</v>
      </c>
    </row>
    <row r="45" spans="2:12">
      <c r="C45" s="227" t="s">
        <v>118</v>
      </c>
      <c r="F45" s="127">
        <f>SUM(F40:F44)</f>
        <v>20417</v>
      </c>
      <c r="G45" s="127">
        <f t="shared" ref="G45:L45" si="15">SUM(G40:G44)</f>
        <v>20256</v>
      </c>
      <c r="H45" s="276">
        <f t="shared" ca="1" si="15"/>
        <v>22198.061435254367</v>
      </c>
      <c r="I45" s="276">
        <f t="shared" ca="1" si="15"/>
        <v>26180.724762669226</v>
      </c>
      <c r="J45" s="276">
        <f t="shared" ca="1" si="15"/>
        <v>30413.912911114719</v>
      </c>
      <c r="K45" s="276">
        <f t="shared" ca="1" si="15"/>
        <v>35053.821848233034</v>
      </c>
      <c r="L45" s="276">
        <f t="shared" ca="1" si="15"/>
        <v>40123.961984742127</v>
      </c>
    </row>
    <row r="46" spans="2:12">
      <c r="F46" s="76"/>
      <c r="G46" s="76"/>
      <c r="H46" s="76"/>
      <c r="I46" s="76"/>
      <c r="J46" s="76"/>
      <c r="K46" s="76"/>
      <c r="L46" s="76"/>
    </row>
    <row r="47" spans="2:12" ht="14.4" thickBot="1">
      <c r="B47" s="227" t="s">
        <v>119</v>
      </c>
      <c r="F47" s="919">
        <f>F45+F38</f>
        <v>78725</v>
      </c>
      <c r="G47" s="919">
        <f t="shared" ref="G47:L47" si="16">G45+G38</f>
        <v>80173</v>
      </c>
      <c r="H47" s="919">
        <f t="shared" ca="1" si="16"/>
        <v>98975.029666740636</v>
      </c>
      <c r="I47" s="919">
        <f t="shared" ca="1" si="16"/>
        <v>101105.05831641622</v>
      </c>
      <c r="J47" s="919">
        <f t="shared" ca="1" si="16"/>
        <v>103629.41731015698</v>
      </c>
      <c r="K47" s="919">
        <f t="shared" ca="1" si="16"/>
        <v>106666.30306393039</v>
      </c>
      <c r="L47" s="919">
        <f t="shared" ca="1" si="16"/>
        <v>109839.55680672759</v>
      </c>
    </row>
    <row r="48" spans="2:12" ht="14.4" thickTop="1">
      <c r="F48" s="76"/>
      <c r="G48" s="76"/>
      <c r="H48" s="76"/>
      <c r="I48" s="76"/>
      <c r="J48" s="76"/>
      <c r="K48" s="76"/>
      <c r="L48" s="76"/>
    </row>
    <row r="49" spans="2:12">
      <c r="B49" s="34"/>
      <c r="D49" s="200" t="s">
        <v>120</v>
      </c>
      <c r="F49" s="286">
        <f>F47-F24</f>
        <v>0</v>
      </c>
      <c r="G49" s="286">
        <f t="shared" ref="G49:L49" si="17">G47-G24</f>
        <v>0</v>
      </c>
      <c r="H49" s="286">
        <f t="shared" ca="1" si="17"/>
        <v>0</v>
      </c>
      <c r="I49" s="286">
        <f t="shared" ca="1" si="17"/>
        <v>0</v>
      </c>
      <c r="J49" s="286">
        <f t="shared" ca="1" si="17"/>
        <v>0</v>
      </c>
      <c r="K49" s="286">
        <f t="shared" ca="1" si="17"/>
        <v>0</v>
      </c>
      <c r="L49" s="286">
        <f t="shared" ca="1" si="17"/>
        <v>0</v>
      </c>
    </row>
    <row r="50" spans="2:12">
      <c r="B50" s="35"/>
      <c r="C50" s="95"/>
      <c r="D50" s="95"/>
      <c r="E50" s="95"/>
      <c r="F50" s="95"/>
      <c r="G50" s="95"/>
      <c r="H50" s="95"/>
      <c r="I50" s="95"/>
      <c r="J50" s="95"/>
      <c r="K50" s="95"/>
      <c r="L50" s="95"/>
    </row>
  </sheetData>
  <printOptions horizontalCentered="1"/>
  <pageMargins left="0.7" right="0.7" top="0.75" bottom="0.75" header="0.3" footer="0.3"/>
  <pageSetup scale="86" fitToHeight="0" orientation="landscape" r:id="rId1"/>
  <headerFooter differentOddEven="1">
    <oddFooter>&amp;L&amp;"Arial"&amp;8Tyler Spencer&amp;C&amp;"Arial"&amp;8&amp;INot associated with PayPal. For educational purposes only.&amp;R&amp;"Arial"&amp;8Page &amp;P</oddFooter>
    <evenFooter>&amp;L&amp;"Arial"&amp;8Tyler Spencer&amp;C&amp;"Arial"&amp;8&amp;INot associated with PayPal. For educational purposes only.&amp;R&amp;"Arial"&amp;8Page &amp;P</evenFooter>
  </headerFooter>
  <rowBreaks count="1" manualBreakCount="1">
    <brk id="24" max="16383" man="1"/>
  </row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97104-4453-4BB1-B931-F71B9BB5A6A9}">
  <sheetPr>
    <pageSetUpPr fitToPage="1"/>
  </sheetPr>
  <dimension ref="B1:L43"/>
  <sheetViews>
    <sheetView topLeftCell="A27" workbookViewId="0">
      <selection activeCell="I9" sqref="I9"/>
    </sheetView>
  </sheetViews>
  <sheetFormatPr defaultColWidth="9.109375" defaultRowHeight="13.8"/>
  <cols>
    <col min="1" max="1" width="2.6640625" style="55" customWidth="1"/>
    <col min="2" max="2" width="3.6640625" style="55" customWidth="1"/>
    <col min="3" max="3" width="29.88671875" style="55" customWidth="1"/>
    <col min="4" max="4" width="6.5546875" style="55" customWidth="1"/>
    <col min="5" max="12" width="12.33203125" style="55" customWidth="1"/>
    <col min="13" max="16384" width="9.109375" style="55"/>
  </cols>
  <sheetData>
    <row r="1" spans="2:12" s="56" customFormat="1" ht="13.2">
      <c r="I1" s="218"/>
      <c r="L1" s="725" t="str">
        <f>"CURRENTLY RUNNING: "&amp;UPPER(CHOOSE(Scenarios!$C$6,Scenarios!B10,Scenarios!B11,Scenarios!B12))&amp;" SCENARIO"</f>
        <v>CURRENTLY RUNNING: BASE CASE SCENARIO</v>
      </c>
    </row>
    <row r="2" spans="2:12" ht="22.8">
      <c r="B2" s="201" t="str">
        <f>Cover!$B$7</f>
        <v>PayPal</v>
      </c>
      <c r="C2" s="57"/>
      <c r="D2" s="58"/>
      <c r="E2" s="58"/>
      <c r="F2" s="58"/>
      <c r="G2" s="58"/>
      <c r="H2" s="58"/>
      <c r="I2" s="58"/>
      <c r="J2" s="58"/>
      <c r="K2" s="58"/>
      <c r="L2" s="59"/>
    </row>
    <row r="3" spans="2:12" ht="18" thickBot="1">
      <c r="B3" s="219" t="s">
        <v>362</v>
      </c>
      <c r="C3" s="3"/>
      <c r="D3" s="4"/>
      <c r="E3" s="4"/>
      <c r="F3" s="5"/>
      <c r="G3" s="4"/>
      <c r="H3" s="4"/>
      <c r="I3" s="4"/>
      <c r="J3" s="4"/>
      <c r="K3" s="4"/>
      <c r="L3" s="4"/>
    </row>
    <row r="4" spans="2:12" s="56" customFormat="1" ht="13.2">
      <c r="B4" s="220" t="s">
        <v>93</v>
      </c>
    </row>
    <row r="5" spans="2:12" s="56" customFormat="1" ht="13.2">
      <c r="H5" s="202" t="s">
        <v>94</v>
      </c>
      <c r="I5" s="75"/>
      <c r="J5" s="75"/>
      <c r="K5" s="75"/>
      <c r="L5" s="75"/>
    </row>
    <row r="6" spans="2:12" s="56" customFormat="1" ht="13.2">
      <c r="B6" s="34"/>
      <c r="F6" s="103"/>
      <c r="G6" s="8"/>
      <c r="H6" s="256">
        <f>IS!H6</f>
        <v>2026</v>
      </c>
      <c r="I6" s="256">
        <f>IS!I6</f>
        <v>2027</v>
      </c>
      <c r="J6" s="256">
        <f>IS!J6</f>
        <v>2028</v>
      </c>
      <c r="K6" s="256">
        <f>IS!K6</f>
        <v>2029</v>
      </c>
      <c r="L6" s="256">
        <f>IS!L6</f>
        <v>2030</v>
      </c>
    </row>
    <row r="7" spans="2:12" s="56" customFormat="1" ht="13.2">
      <c r="B7" s="121" t="s">
        <v>137</v>
      </c>
    </row>
    <row r="8" spans="2:12" s="56" customFormat="1" ht="13.2">
      <c r="C8" s="125" t="s">
        <v>97</v>
      </c>
      <c r="G8" s="285"/>
      <c r="H8" s="921">
        <f ca="1">'IS Pro Forma'!H25</f>
        <v>3879.1814352543661</v>
      </c>
      <c r="I8" s="921">
        <f ca="1">'IS Pro Forma'!I25</f>
        <v>3982.6633274148589</v>
      </c>
      <c r="J8" s="921">
        <f ca="1">'IS Pro Forma'!J25</f>
        <v>4233.1881484454925</v>
      </c>
      <c r="K8" s="921">
        <f ca="1">'IS Pro Forma'!K25</f>
        <v>4639.9089371183127</v>
      </c>
      <c r="L8" s="921">
        <f ca="1">'IS Pro Forma'!L25</f>
        <v>5070.1401365090906</v>
      </c>
    </row>
    <row r="9" spans="2:12" s="56" customFormat="1" ht="13.2">
      <c r="C9" s="125" t="s">
        <v>138</v>
      </c>
      <c r="G9" s="36"/>
      <c r="H9" s="242">
        <f>-'D&amp;A Schedule'!G29-'LBO Debt Schedule'!H61</f>
        <v>934.76235691749218</v>
      </c>
      <c r="I9" s="242">
        <f>-'D&amp;A Schedule'!H29-'LBO Debt Schedule'!I61</f>
        <v>942.58593891861153</v>
      </c>
      <c r="J9" s="242">
        <f>-'D&amp;A Schedule'!I29-'LBO Debt Schedule'!J61</f>
        <v>979.36800287287474</v>
      </c>
      <c r="K9" s="242">
        <f>-'D&amp;A Schedule'!J29-'LBO Debt Schedule'!K61</f>
        <v>990.30013406461467</v>
      </c>
      <c r="L9" s="242">
        <f>-'D&amp;A Schedule'!K29-'LBO Debt Schedule'!L61</f>
        <v>1052.9890383300522</v>
      </c>
    </row>
    <row r="10" spans="2:12" s="56" customFormat="1" ht="13.2">
      <c r="C10" s="125" t="s">
        <v>148</v>
      </c>
      <c r="G10" s="36"/>
      <c r="H10" s="242">
        <f>BS!G11-BS!H11</f>
        <v>-59.508084350657327</v>
      </c>
      <c r="I10" s="242">
        <f>BS!H11-BS!I11</f>
        <v>-71.450248921451475</v>
      </c>
      <c r="J10" s="242">
        <f>BS!I11-BS!J11</f>
        <v>-84.794578339415011</v>
      </c>
      <c r="K10" s="242">
        <f>BS!J11-BS!K11</f>
        <v>-100.15219723578366</v>
      </c>
      <c r="L10" s="242">
        <f>BS!K11-BS!L11</f>
        <v>-105.29289273819859</v>
      </c>
    </row>
    <row r="11" spans="2:12" s="56" customFormat="1" ht="13.2">
      <c r="C11" s="125" t="s">
        <v>149</v>
      </c>
      <c r="G11" s="36"/>
      <c r="H11" s="242">
        <f>BS!G10-BS!H10</f>
        <v>-24.94332037260267</v>
      </c>
      <c r="I11" s="242">
        <f>BS!H10-BS!I10</f>
        <v>-34.612229474191622</v>
      </c>
      <c r="J11" s="242">
        <f>BS!I10-BS!J10</f>
        <v>-38.506512492283036</v>
      </c>
      <c r="K11" s="242">
        <f>BS!J10-BS!K10</f>
        <v>-51.08618079221435</v>
      </c>
      <c r="L11" s="242">
        <f>BS!K10-BS!L10</f>
        <v>-51.006425036565702</v>
      </c>
    </row>
    <row r="12" spans="2:12" s="56" customFormat="1" ht="13.2">
      <c r="C12" s="125" t="s">
        <v>150</v>
      </c>
      <c r="G12" s="31"/>
      <c r="H12" s="242">
        <f>(BS!G14-BS!H14)+(BS!G21-BS!H21)</f>
        <v>-215.32949307517379</v>
      </c>
      <c r="I12" s="242">
        <f>(BS!H14-BS!I14)+(BS!H21-BS!I21)</f>
        <v>-249.49735268002814</v>
      </c>
      <c r="J12" s="242">
        <f>(BS!I14-BS!J14)+(BS!I21-BS!J21)</f>
        <v>-276.78083573434719</v>
      </c>
      <c r="K12" s="242">
        <f>(BS!J14-BS!K14)+(BS!J21-BS!K21)</f>
        <v>-326.20348717884963</v>
      </c>
      <c r="L12" s="242">
        <f>(BS!K14-BS!L14)+(BS!K21-BS!L21)</f>
        <v>-337.77184004316359</v>
      </c>
    </row>
    <row r="13" spans="2:12" s="56" customFormat="1" ht="13.2">
      <c r="C13" s="125" t="s">
        <v>114</v>
      </c>
      <c r="G13" s="31"/>
      <c r="H13" s="242">
        <f>BS!H28-BS!G28</f>
        <v>12.227638233863047</v>
      </c>
      <c r="I13" s="242">
        <f>BS!I28-BS!H28</f>
        <v>14.70248841824872</v>
      </c>
      <c r="J13" s="242">
        <f>BS!J28-BS!I28</f>
        <v>14.921891515165385</v>
      </c>
      <c r="K13" s="242">
        <f>BS!K28-BS!J28</f>
        <v>17.532036320636564</v>
      </c>
      <c r="L13" s="242">
        <f>BS!L28-BS!K28</f>
        <v>17.754934925576322</v>
      </c>
    </row>
    <row r="14" spans="2:12" s="56" customFormat="1" ht="13.2">
      <c r="C14" s="125" t="s">
        <v>151</v>
      </c>
      <c r="G14" s="12"/>
      <c r="H14" s="228">
        <f>(BS!H30-BS!G30)+(BS!H34-BS!G34)</f>
        <v>459.805829972428</v>
      </c>
      <c r="I14" s="228">
        <f>(BS!I30-BS!H30)+(BS!I34-BS!H34)</f>
        <v>505.0411435249257</v>
      </c>
      <c r="J14" s="228">
        <f>(BS!J30-BS!I30)+(BS!J34-BS!I34)</f>
        <v>522.57470185885313</v>
      </c>
      <c r="K14" s="228">
        <f>(BS!K30-BS!J30)+(BS!K34-BS!J34)</f>
        <v>586.9682672975996</v>
      </c>
      <c r="L14" s="228">
        <f>(BS!L30-BS!K30)+(BS!L34-BS!K34)</f>
        <v>606.21384247063725</v>
      </c>
    </row>
    <row r="15" spans="2:12" s="56" customFormat="1" ht="13.2">
      <c r="C15" s="227" t="s">
        <v>139</v>
      </c>
      <c r="G15" s="162"/>
      <c r="H15" s="944">
        <f ca="1">SUM(H8:H14)</f>
        <v>4986.1963625797152</v>
      </c>
      <c r="I15" s="944">
        <f ca="1">SUM(I8:I14)</f>
        <v>5089.4330672009728</v>
      </c>
      <c r="J15" s="944">
        <f ca="1">SUM(J8:J14)</f>
        <v>5349.9708181263395</v>
      </c>
      <c r="K15" s="944">
        <f ca="1">SUM(K8:K14)</f>
        <v>5757.267509594315</v>
      </c>
      <c r="L15" s="944">
        <f ca="1">SUM(L8:L14)</f>
        <v>6253.0267944174293</v>
      </c>
    </row>
    <row r="16" spans="2:12" s="56" customFormat="1" ht="13.2">
      <c r="B16" s="78"/>
      <c r="G16" s="85"/>
      <c r="H16" s="85"/>
      <c r="I16" s="85"/>
      <c r="J16" s="85"/>
      <c r="K16" s="85"/>
      <c r="L16" s="85"/>
    </row>
    <row r="17" spans="2:12" s="56" customFormat="1" ht="13.2">
      <c r="B17" s="121" t="s">
        <v>140</v>
      </c>
      <c r="G17" s="629"/>
      <c r="H17" s="85"/>
      <c r="I17" s="85"/>
      <c r="J17" s="85"/>
      <c r="K17" s="85"/>
      <c r="L17" s="85"/>
    </row>
    <row r="18" spans="2:12" s="56" customFormat="1" ht="13.2">
      <c r="B18" s="11"/>
      <c r="C18" s="125" t="s">
        <v>152</v>
      </c>
      <c r="G18" s="31"/>
      <c r="H18" s="242">
        <f>-('D&amp;A Schedule'!G22)</f>
        <v>-823.57646592000003</v>
      </c>
      <c r="I18" s="242">
        <f>-('D&amp;A Schedule'!H22)</f>
        <v>-856.53332789759986</v>
      </c>
      <c r="J18" s="242">
        <f>-('D&amp;A Schedule'!I22)</f>
        <v>-895.64534299852789</v>
      </c>
      <c r="K18" s="242">
        <f>-('D&amp;A Schedule'!J22)</f>
        <v>-941.84115324240395</v>
      </c>
      <c r="L18" s="242">
        <f>-('D&amp;A Schedule'!K22)</f>
        <v>-990.40814055982946</v>
      </c>
    </row>
    <row r="19" spans="2:12" s="56" customFormat="1" ht="13.2">
      <c r="C19" s="125" t="s">
        <v>238</v>
      </c>
      <c r="F19" s="20"/>
      <c r="G19" s="32"/>
      <c r="H19" s="226">
        <f>(BS!G12-BS!H12)+(BS!G13-BS!H13)</f>
        <v>-1549.5546599397057</v>
      </c>
      <c r="I19" s="226">
        <f>(BS!H12-BS!I12)+(BS!H13-BS!I13)</f>
        <v>-1860.5214296209169</v>
      </c>
      <c r="J19" s="226">
        <f>(BS!I12-BS!J12)+(BS!I13-BS!J13)</f>
        <v>-2207.9997270490458</v>
      </c>
      <c r="K19" s="226">
        <f>(BS!J12-BS!K12)+(BS!J13-BS!K13)</f>
        <v>-2607.9028693887949</v>
      </c>
      <c r="L19" s="226">
        <f>(BS!K12-BS!L12)+(BS!K13-BS!L13)</f>
        <v>-2741.763482749484</v>
      </c>
    </row>
    <row r="20" spans="2:12" s="56" customFormat="1" ht="13.2">
      <c r="C20" s="121" t="s">
        <v>141</v>
      </c>
      <c r="G20" s="162"/>
      <c r="H20" s="920">
        <f>SUM(H18:H19)</f>
        <v>-2373.1311258597057</v>
      </c>
      <c r="I20" s="920">
        <f>SUM(I18:I19)</f>
        <v>-2717.0547575185169</v>
      </c>
      <c r="J20" s="920">
        <f>SUM(J18:J19)</f>
        <v>-3103.6450700475734</v>
      </c>
      <c r="K20" s="920">
        <f>SUM(K18:K19)</f>
        <v>-3549.7440226311987</v>
      </c>
      <c r="L20" s="920">
        <f>SUM(L18:L19)</f>
        <v>-3732.1716233093134</v>
      </c>
    </row>
    <row r="21" spans="2:12" s="56" customFormat="1" ht="13.2">
      <c r="B21" s="17"/>
      <c r="G21" s="14"/>
      <c r="H21" s="290"/>
      <c r="I21" s="290"/>
      <c r="J21" s="290"/>
      <c r="K21" s="290"/>
      <c r="L21" s="290"/>
    </row>
    <row r="22" spans="2:12" s="56" customFormat="1" ht="13.2">
      <c r="B22" s="229" t="s">
        <v>142</v>
      </c>
      <c r="G22" s="14"/>
      <c r="H22" s="33"/>
      <c r="I22" s="33"/>
      <c r="J22" s="33"/>
      <c r="K22" s="33"/>
      <c r="L22" s="33"/>
    </row>
    <row r="23" spans="2:12" s="56" customFormat="1" ht="13.2">
      <c r="B23" s="17"/>
      <c r="C23" s="125" t="s">
        <v>153</v>
      </c>
      <c r="G23" s="32"/>
      <c r="H23" s="144">
        <v>0</v>
      </c>
      <c r="I23" s="144">
        <v>0</v>
      </c>
      <c r="J23" s="144">
        <v>0</v>
      </c>
      <c r="K23" s="144">
        <v>0</v>
      </c>
      <c r="L23" s="144">
        <v>0</v>
      </c>
    </row>
    <row r="24" spans="2:12" s="56" customFormat="1" ht="13.2">
      <c r="B24" s="17"/>
      <c r="C24" s="125" t="s">
        <v>154</v>
      </c>
      <c r="G24" s="32"/>
      <c r="H24" s="242">
        <f>-'LBO Debt Schedule'!H64</f>
        <v>-236.32</v>
      </c>
      <c r="I24" s="242">
        <f ca="1">-'LBO Debt Schedule'!I64</f>
        <v>-196.33010096577948</v>
      </c>
      <c r="J24" s="242">
        <f ca="1">-'LBO Debt Schedule'!J64</f>
        <v>-155.96577843590447</v>
      </c>
      <c r="K24" s="242">
        <f ca="1">-'LBO Debt Schedule'!K64</f>
        <v>-113.75412894997314</v>
      </c>
      <c r="L24" s="242">
        <f ca="1">-'LBO Debt Schedule'!L64</f>
        <v>-68.353760682404356</v>
      </c>
    </row>
    <row r="25" spans="2:12" s="56" customFormat="1" ht="13.2">
      <c r="B25" s="17"/>
      <c r="C25" s="125" t="s">
        <v>242</v>
      </c>
      <c r="G25" s="32"/>
      <c r="H25" s="144">
        <v>0</v>
      </c>
      <c r="I25" s="144">
        <v>0</v>
      </c>
      <c r="J25" s="144">
        <v>0</v>
      </c>
      <c r="K25" s="144">
        <v>0</v>
      </c>
      <c r="L25" s="144">
        <v>0</v>
      </c>
    </row>
    <row r="26" spans="2:12" s="56" customFormat="1" ht="13.2">
      <c r="B26" s="17"/>
      <c r="C26" s="125" t="s">
        <v>237</v>
      </c>
      <c r="G26" s="32"/>
      <c r="H26" s="226">
        <f>BS!H29-BS!G29</f>
        <v>1385.9246667020416</v>
      </c>
      <c r="I26" s="226">
        <f>BS!I29-BS!H29</f>
        <v>1664.0539433050435</v>
      </c>
      <c r="J26" s="226">
        <f>BS!J29-BS!I29</f>
        <v>1974.8392005143687</v>
      </c>
      <c r="K26" s="226">
        <f>BS!K29-BS!J29</f>
        <v>2332.5133397937607</v>
      </c>
      <c r="L26" s="226">
        <f>BS!L29-BS!K29</f>
        <v>2452.2385297161745</v>
      </c>
    </row>
    <row r="27" spans="2:12" s="56" customFormat="1" ht="13.2">
      <c r="B27" s="17"/>
      <c r="C27" s="121" t="s">
        <v>143</v>
      </c>
      <c r="G27" s="162"/>
      <c r="H27" s="920">
        <f>SUM(H23:H26)</f>
        <v>1149.6046667020416</v>
      </c>
      <c r="I27" s="920">
        <f ca="1">SUM(I23:I26)</f>
        <v>1467.7238423392641</v>
      </c>
      <c r="J27" s="920">
        <f ca="1">SUM(J23:J26)</f>
        <v>1818.8734220784643</v>
      </c>
      <c r="K27" s="920">
        <f ca="1">SUM(K23:K26)</f>
        <v>2218.7592108437875</v>
      </c>
      <c r="L27" s="920">
        <f ca="1">SUM(L23:L26)</f>
        <v>2383.8847690337702</v>
      </c>
    </row>
    <row r="28" spans="2:12" s="56" customFormat="1" ht="13.2">
      <c r="C28" s="13"/>
      <c r="G28" s="33"/>
      <c r="H28" s="33"/>
      <c r="I28" s="33"/>
      <c r="J28" s="33"/>
      <c r="K28" s="33"/>
      <c r="L28" s="33"/>
    </row>
    <row r="29" spans="2:12" s="56" customFormat="1" ht="13.2">
      <c r="B29" s="245" t="s">
        <v>349</v>
      </c>
      <c r="C29" s="40"/>
      <c r="D29" s="88"/>
      <c r="E29" s="88"/>
      <c r="F29" s="88"/>
      <c r="G29" s="287"/>
      <c r="H29" s="907">
        <f ca="1">H27+H20+H15</f>
        <v>3762.669903422051</v>
      </c>
      <c r="I29" s="907">
        <f ca="1">I27+I20+I15</f>
        <v>3840.10215202172</v>
      </c>
      <c r="J29" s="907">
        <f ca="1">J27+J20+J15</f>
        <v>4065.1991701572306</v>
      </c>
      <c r="K29" s="907">
        <f ca="1">K27+K20+K15</f>
        <v>4426.2826978069043</v>
      </c>
      <c r="L29" s="908">
        <f ca="1">L27+L20+L15</f>
        <v>4904.7399401418861</v>
      </c>
    </row>
    <row r="30" spans="2:12" s="56" customFormat="1" ht="13.2">
      <c r="B30" s="198" t="s">
        <v>350</v>
      </c>
      <c r="C30" s="13"/>
      <c r="G30" s="281"/>
      <c r="H30" s="909">
        <f ca="1">'LBO Debt Schedule'!H24</f>
        <v>0</v>
      </c>
      <c r="I30" s="909">
        <f ca="1">'LBO Debt Schedule'!I24</f>
        <v>0</v>
      </c>
      <c r="J30" s="909">
        <f ca="1">'LBO Debt Schedule'!J24</f>
        <v>0</v>
      </c>
      <c r="K30" s="909">
        <f ca="1">'LBO Debt Schedule'!K24</f>
        <v>0</v>
      </c>
      <c r="L30" s="945">
        <f ca="1">'LBO Debt Schedule'!L24</f>
        <v>0</v>
      </c>
    </row>
    <row r="31" spans="2:12" s="56" customFormat="1" ht="13.2">
      <c r="B31" s="198" t="s">
        <v>351</v>
      </c>
      <c r="C31" s="13"/>
      <c r="G31" s="85"/>
      <c r="H31" s="910">
        <f ca="1">-'LBO Debt Schedule'!H32</f>
        <v>0</v>
      </c>
      <c r="I31" s="910">
        <f ca="1">-'LBO Debt Schedule'!I32</f>
        <v>0</v>
      </c>
      <c r="J31" s="910">
        <f ca="1">-'LBO Debt Schedule'!J32</f>
        <v>-1727.5048010026858</v>
      </c>
      <c r="K31" s="910">
        <f ca="1">-'LBO Debt Schedule'!K32</f>
        <v>-4426.2826978069043</v>
      </c>
      <c r="L31" s="911">
        <f ca="1">-'LBO Debt Schedule'!L32</f>
        <v>-4904.7399401418861</v>
      </c>
    </row>
    <row r="32" spans="2:12" s="56" customFormat="1" ht="13.2">
      <c r="B32" s="198" t="s">
        <v>352</v>
      </c>
      <c r="C32" s="13"/>
      <c r="G32" s="85"/>
      <c r="H32" s="910">
        <f ca="1">-'LBO Debt Schedule'!H40</f>
        <v>-3762.669903422051</v>
      </c>
      <c r="I32" s="910">
        <f ca="1">-'LBO Debt Schedule'!I40</f>
        <v>-3840.10215202172</v>
      </c>
      <c r="J32" s="910">
        <f ca="1">-'LBO Debt Schedule'!J40</f>
        <v>-2337.6943691545448</v>
      </c>
      <c r="K32" s="910">
        <f ca="1">-'LBO Debt Schedule'!K40</f>
        <v>0</v>
      </c>
      <c r="L32" s="911">
        <f ca="1">-'LBO Debt Schedule'!L40</f>
        <v>0</v>
      </c>
    </row>
    <row r="33" spans="2:12" s="56" customFormat="1" ht="13.2">
      <c r="B33" s="198" t="s">
        <v>145</v>
      </c>
      <c r="C33" s="13"/>
      <c r="G33" s="288"/>
      <c r="H33" s="946">
        <f>LBO!E13</f>
        <v>1000</v>
      </c>
      <c r="I33" s="947">
        <f t="shared" ref="I33:L33" ca="1" si="0">+H34</f>
        <v>1000</v>
      </c>
      <c r="J33" s="947">
        <f ca="1">+I34</f>
        <v>1000</v>
      </c>
      <c r="K33" s="947">
        <f t="shared" ca="1" si="0"/>
        <v>1000</v>
      </c>
      <c r="L33" s="948">
        <f t="shared" ca="1" si="0"/>
        <v>1000</v>
      </c>
    </row>
    <row r="34" spans="2:12" s="56" customFormat="1" ht="13.2">
      <c r="B34" s="246" t="s">
        <v>146</v>
      </c>
      <c r="C34" s="41"/>
      <c r="D34" s="95"/>
      <c r="E34" s="95"/>
      <c r="F34" s="95"/>
      <c r="G34" s="289"/>
      <c r="H34" s="912">
        <f ca="1">SUM(H29:H33)</f>
        <v>1000</v>
      </c>
      <c r="I34" s="912">
        <f ca="1">SUM(I29:I33)</f>
        <v>1000</v>
      </c>
      <c r="J34" s="912">
        <f t="shared" ref="J34:K34" ca="1" si="1">SUM(J29:J33)</f>
        <v>1000</v>
      </c>
      <c r="K34" s="912">
        <f t="shared" ca="1" si="1"/>
        <v>1000</v>
      </c>
      <c r="L34" s="913">
        <f ca="1">SUM(L29:L33)</f>
        <v>1000</v>
      </c>
    </row>
    <row r="35" spans="2:12" s="56" customFormat="1" ht="13.2">
      <c r="B35" s="95"/>
      <c r="C35" s="95"/>
      <c r="D35" s="95"/>
      <c r="E35" s="95"/>
      <c r="F35" s="95"/>
      <c r="G35" s="108"/>
      <c r="H35" s="108"/>
      <c r="I35" s="108"/>
      <c r="J35" s="108"/>
      <c r="K35" s="108"/>
      <c r="L35" s="108"/>
    </row>
    <row r="36" spans="2:12" s="56" customFormat="1" ht="13.2">
      <c r="G36" s="76"/>
      <c r="H36" s="76"/>
      <c r="I36" s="76"/>
      <c r="J36" s="76"/>
      <c r="K36" s="76"/>
      <c r="L36" s="76"/>
    </row>
    <row r="37" spans="2:12" s="56" customFormat="1" ht="13.2">
      <c r="G37" s="76"/>
      <c r="H37" s="76"/>
      <c r="I37" s="76"/>
      <c r="J37" s="76"/>
      <c r="K37" s="76"/>
      <c r="L37" s="76"/>
    </row>
    <row r="38" spans="2:12" s="56" customFormat="1" ht="13.2"/>
    <row r="39" spans="2:12" s="56" customFormat="1" ht="13.2"/>
    <row r="40" spans="2:12" s="56" customFormat="1" ht="13.2"/>
    <row r="41" spans="2:12" s="56" customFormat="1" ht="13.2"/>
    <row r="42" spans="2:12" s="56" customFormat="1" ht="13.2"/>
    <row r="43" spans="2:12" s="56" customFormat="1" ht="13.2"/>
  </sheetData>
  <printOptions horizontalCentered="1"/>
  <pageMargins left="0.7" right="0.7" top="0.75" bottom="0.75" header="0.3" footer="0.3"/>
  <pageSetup scale="86" fitToHeight="0" orientation="landscape" r:id="rId1"/>
  <headerFooter differentOddEven="1">
    <oddFooter>&amp;L&amp;"Arial"&amp;8Tyler Spencer&amp;C&amp;"Arial"&amp;8&amp;INot associated with PayPal. For educational purposes only.&amp;R&amp;"Arial"&amp;8Page &amp;P</oddFooter>
    <evenFooter>&amp;L&amp;"Arial"&amp;8Tyler Spencer&amp;C&amp;"Arial"&amp;8&amp;INot associated with PayPal. For educational purposes only.&amp;R&amp;"Arial"&amp;8Page &amp;P</evenFooter>
  </headerFooter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961DD-4FCC-498B-98F2-E47A979AAE27}">
  <sheetPr>
    <pageSetUpPr fitToPage="1"/>
  </sheetPr>
  <dimension ref="B1:L20"/>
  <sheetViews>
    <sheetView workbookViewId="0">
      <selection activeCell="I9" sqref="I9"/>
    </sheetView>
  </sheetViews>
  <sheetFormatPr defaultColWidth="9.109375" defaultRowHeight="13.8"/>
  <cols>
    <col min="1" max="1" width="2.6640625" style="55" customWidth="1"/>
    <col min="2" max="2" width="3.6640625" style="55" customWidth="1"/>
    <col min="3" max="3" width="29.88671875" style="55" customWidth="1"/>
    <col min="4" max="4" width="6.5546875" style="55" customWidth="1"/>
    <col min="5" max="12" width="12.33203125" style="55" customWidth="1"/>
    <col min="13" max="16384" width="9.109375" style="55"/>
  </cols>
  <sheetData>
    <row r="1" spans="2:12" s="56" customFormat="1" ht="13.2">
      <c r="I1" s="218"/>
      <c r="L1" s="725" t="str">
        <f>"CURRENTLY RUNNING: "&amp;UPPER(CHOOSE(Scenarios!$C$6,Scenarios!B10,Scenarios!B11,Scenarios!B12))&amp;" SCENARIO"</f>
        <v>CURRENTLY RUNNING: BASE CASE SCENARIO</v>
      </c>
    </row>
    <row r="2" spans="2:12" ht="22.8">
      <c r="B2" s="201" t="str">
        <f>Cover!$B$7</f>
        <v>PayPal</v>
      </c>
      <c r="C2" s="57"/>
      <c r="D2" s="58"/>
      <c r="E2" s="58"/>
      <c r="F2" s="58"/>
      <c r="G2" s="58"/>
      <c r="H2" s="58"/>
      <c r="I2" s="58"/>
      <c r="J2" s="58"/>
      <c r="K2" s="58"/>
      <c r="L2" s="59"/>
    </row>
    <row r="3" spans="2:12" ht="18" thickBot="1">
      <c r="B3" s="219" t="s">
        <v>165</v>
      </c>
      <c r="C3" s="3"/>
      <c r="D3" s="4"/>
      <c r="E3" s="4"/>
      <c r="F3" s="5"/>
      <c r="G3" s="4"/>
      <c r="H3" s="4"/>
      <c r="I3" s="4"/>
      <c r="J3" s="4"/>
      <c r="K3" s="4"/>
      <c r="L3" s="4"/>
    </row>
    <row r="4" spans="2:12">
      <c r="B4" s="220" t="s">
        <v>93</v>
      </c>
      <c r="C4" s="34"/>
      <c r="D4" s="56"/>
      <c r="E4" s="20"/>
      <c r="F4" s="20"/>
      <c r="G4" s="34"/>
      <c r="H4" s="56"/>
      <c r="I4" s="56"/>
      <c r="J4" s="56"/>
      <c r="K4" s="56"/>
      <c r="L4" s="56"/>
    </row>
    <row r="5" spans="2:12">
      <c r="B5" s="56"/>
      <c r="C5" s="56"/>
      <c r="D5" s="56"/>
      <c r="E5" s="20"/>
      <c r="F5" s="20"/>
      <c r="G5" s="56"/>
      <c r="H5" s="202" t="s">
        <v>94</v>
      </c>
      <c r="I5" s="302"/>
      <c r="J5" s="302"/>
      <c r="K5" s="302"/>
      <c r="L5" s="302"/>
    </row>
    <row r="6" spans="2:12">
      <c r="B6" s="56"/>
      <c r="C6" s="300" t="s">
        <v>166</v>
      </c>
      <c r="D6" s="106"/>
      <c r="E6" s="638">
        <f>Assumptions!N39</f>
        <v>0.21</v>
      </c>
      <c r="F6" s="28"/>
      <c r="G6" s="303"/>
      <c r="H6" s="625">
        <f>'D&amp;A Schedule'!G19</f>
        <v>2026</v>
      </c>
      <c r="I6" s="625">
        <f>'D&amp;A Schedule'!H19</f>
        <v>2027</v>
      </c>
      <c r="J6" s="625">
        <f>'D&amp;A Schedule'!I19</f>
        <v>2028</v>
      </c>
      <c r="K6" s="625">
        <f>'D&amp;A Schedule'!J19</f>
        <v>2029</v>
      </c>
      <c r="L6" s="625">
        <f>'D&amp;A Schedule'!K19</f>
        <v>2030</v>
      </c>
    </row>
    <row r="7" spans="2:12">
      <c r="B7" s="56"/>
      <c r="C7" s="56"/>
      <c r="D7" s="56"/>
      <c r="E7" s="56"/>
      <c r="F7" s="56"/>
      <c r="G7" s="56"/>
      <c r="H7" s="297"/>
      <c r="I7" s="297"/>
      <c r="J7" s="297"/>
      <c r="K7" s="297"/>
      <c r="L7" s="297"/>
    </row>
    <row r="8" spans="2:12"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</row>
    <row r="9" spans="2:12">
      <c r="B9" s="56"/>
      <c r="C9" s="227" t="s">
        <v>167</v>
      </c>
      <c r="D9" s="56"/>
      <c r="E9" s="56"/>
      <c r="F9" s="56"/>
      <c r="G9" s="135" t="s">
        <v>168</v>
      </c>
      <c r="H9" s="148">
        <f ca="1">'IS Pro Forma'!H22</f>
        <v>4606.1474157810044</v>
      </c>
      <c r="I9" s="148">
        <f ca="1">'IS Pro Forma'!I22</f>
        <v>4839.387474845541</v>
      </c>
      <c r="J9" s="148">
        <f ca="1">'IS Pro Forma'!J22</f>
        <v>5224.3895630627449</v>
      </c>
      <c r="K9" s="148">
        <f ca="1">'IS Pro Forma'!K22</f>
        <v>5784.2916256289582</v>
      </c>
      <c r="L9" s="148">
        <f ca="1">'IS Pro Forma'!L22</f>
        <v>6358.8062970478404</v>
      </c>
    </row>
    <row r="10" spans="2:12">
      <c r="B10" s="56"/>
      <c r="C10" s="56"/>
      <c r="D10" s="190"/>
      <c r="E10" s="190"/>
      <c r="F10" s="56"/>
      <c r="G10" s="190"/>
      <c r="H10" s="190"/>
      <c r="I10" s="190"/>
      <c r="J10" s="190"/>
      <c r="K10" s="190"/>
      <c r="L10" s="190"/>
    </row>
    <row r="11" spans="2:12">
      <c r="B11" s="56"/>
      <c r="C11" s="125" t="s">
        <v>328</v>
      </c>
      <c r="D11" s="56"/>
      <c r="E11" s="56"/>
      <c r="F11" s="56"/>
      <c r="G11" s="56"/>
      <c r="H11" s="86">
        <f>Assumptions!J62</f>
        <v>1144.4046513684398</v>
      </c>
      <c r="I11" s="86">
        <f>Assumptions!K62</f>
        <v>759.74867755657772</v>
      </c>
      <c r="J11" s="86">
        <f>Assumptions!L62</f>
        <v>504.38282679011439</v>
      </c>
      <c r="K11" s="86">
        <f>Assumptions!M62</f>
        <v>334.85025176873893</v>
      </c>
      <c r="L11" s="86">
        <f>Assumptions!N62</f>
        <v>222.30077067283966</v>
      </c>
    </row>
    <row r="12" spans="2:12">
      <c r="B12" s="56"/>
      <c r="C12" s="227" t="s">
        <v>169</v>
      </c>
      <c r="D12" s="56"/>
      <c r="E12" s="190"/>
      <c r="F12" s="56"/>
      <c r="G12" s="135" t="s">
        <v>170</v>
      </c>
      <c r="H12" s="135">
        <f ca="1">H9-H11</f>
        <v>3461.7427644125646</v>
      </c>
      <c r="I12" s="135">
        <f ca="1">I9-I11</f>
        <v>4079.6387972889634</v>
      </c>
      <c r="J12" s="135">
        <f ca="1">J9-J11</f>
        <v>4720.0067362726304</v>
      </c>
      <c r="K12" s="135">
        <f ca="1">K9-K11</f>
        <v>5449.4413738602188</v>
      </c>
      <c r="L12" s="135">
        <f ca="1">L9-L11</f>
        <v>6136.505526375001</v>
      </c>
    </row>
    <row r="13" spans="2:12">
      <c r="B13" s="56"/>
      <c r="C13" s="56"/>
      <c r="D13" s="11"/>
      <c r="E13" s="56"/>
      <c r="F13" s="56"/>
      <c r="G13" s="42"/>
      <c r="H13" s="42"/>
      <c r="I13" s="42"/>
      <c r="J13" s="42"/>
      <c r="K13" s="42"/>
      <c r="L13" s="42"/>
    </row>
    <row r="14" spans="2:12">
      <c r="B14" s="56"/>
      <c r="C14" s="176" t="str">
        <f>CONCATENATE("Accounting Taxes (",$E$6*100,"% of A)")</f>
        <v>Accounting Taxes (21% of A)</v>
      </c>
      <c r="D14" s="190"/>
      <c r="E14" s="190"/>
      <c r="F14" s="190"/>
      <c r="G14" s="42"/>
      <c r="H14" s="127">
        <f ca="1">$E$6*H9</f>
        <v>967.29095731401094</v>
      </c>
      <c r="I14" s="127">
        <f ca="1">$E$6*I9</f>
        <v>1016.2713697175635</v>
      </c>
      <c r="J14" s="127">
        <f ca="1">$E$6*J9</f>
        <v>1097.1218082431765</v>
      </c>
      <c r="K14" s="127">
        <f ca="1">$E$6*K9</f>
        <v>1214.7012413820812</v>
      </c>
      <c r="L14" s="127">
        <f ca="1">$E$6*L9</f>
        <v>1335.3493223800465</v>
      </c>
    </row>
    <row r="15" spans="2:12">
      <c r="B15" s="56"/>
      <c r="C15" s="56"/>
      <c r="D15" s="56"/>
      <c r="E15" s="44"/>
      <c r="F15" s="56"/>
      <c r="G15" s="42"/>
      <c r="H15" s="42"/>
      <c r="I15" s="42"/>
      <c r="J15" s="42"/>
      <c r="K15" s="42"/>
      <c r="L15" s="42"/>
    </row>
    <row r="16" spans="2:12">
      <c r="B16" s="56"/>
      <c r="C16" s="233" t="s">
        <v>171</v>
      </c>
      <c r="D16" s="304"/>
      <c r="E16" s="304"/>
      <c r="F16" s="304"/>
      <c r="G16" s="304"/>
      <c r="H16" s="304"/>
      <c r="I16" s="304"/>
      <c r="J16" s="304"/>
      <c r="K16" s="304"/>
      <c r="L16" s="305"/>
    </row>
    <row r="17" spans="2:12">
      <c r="B17" s="56"/>
      <c r="C17" s="306" t="str">
        <f>CONCATENATE("Current Tax (",$E$6*100,"% of B)")</f>
        <v>Current Tax (21% of B)</v>
      </c>
      <c r="D17" s="190"/>
      <c r="E17" s="190"/>
      <c r="F17" s="771"/>
      <c r="G17" s="42"/>
      <c r="H17" s="127">
        <f ca="1">$E$6*H12</f>
        <v>726.96598052663853</v>
      </c>
      <c r="I17" s="127">
        <f ca="1">$E$6*I12</f>
        <v>856.72414743068225</v>
      </c>
      <c r="J17" s="127">
        <f ca="1">$E$6*J12</f>
        <v>991.20141461725234</v>
      </c>
      <c r="K17" s="127">
        <f ca="1">$E$6*K12</f>
        <v>1144.3826885106459</v>
      </c>
      <c r="L17" s="252">
        <f ca="1">$E$6*L12</f>
        <v>1288.6661605387501</v>
      </c>
    </row>
    <row r="18" spans="2:12">
      <c r="B18" s="56"/>
      <c r="C18" s="198" t="s">
        <v>172</v>
      </c>
      <c r="D18" s="190"/>
      <c r="E18" s="190"/>
      <c r="F18" s="190"/>
      <c r="G18" s="42"/>
      <c r="H18" s="251">
        <f ca="1">H14-H17</f>
        <v>240.32497678737241</v>
      </c>
      <c r="I18" s="251">
        <f ca="1">I14-I17</f>
        <v>159.54722228688127</v>
      </c>
      <c r="J18" s="251">
        <f ca="1">J14-J17</f>
        <v>105.92039362592413</v>
      </c>
      <c r="K18" s="251">
        <f ca="1">K14-K17</f>
        <v>70.318552871435259</v>
      </c>
      <c r="L18" s="253">
        <f ca="1">L14-L17</f>
        <v>46.683161841296396</v>
      </c>
    </row>
    <row r="19" spans="2:12">
      <c r="B19" s="56"/>
      <c r="C19" s="307" t="s">
        <v>173</v>
      </c>
      <c r="D19" s="308"/>
      <c r="E19" s="308"/>
      <c r="F19" s="308"/>
      <c r="G19" s="45"/>
      <c r="H19" s="254">
        <f ca="1">SUM(H17:H18)</f>
        <v>967.29095731401094</v>
      </c>
      <c r="I19" s="254">
        <f ca="1">SUM(I17:I18)</f>
        <v>1016.2713697175635</v>
      </c>
      <c r="J19" s="254">
        <f ca="1">SUM(J17:J18)</f>
        <v>1097.1218082431765</v>
      </c>
      <c r="K19" s="254">
        <f ca="1">SUM(K17:K18)</f>
        <v>1214.7012413820812</v>
      </c>
      <c r="L19" s="255">
        <f ca="1">SUM(L17:L18)</f>
        <v>1335.3493223800465</v>
      </c>
    </row>
    <row r="20" spans="2:12">
      <c r="B20" s="63"/>
      <c r="C20" s="309"/>
      <c r="D20" s="309"/>
      <c r="E20" s="310"/>
      <c r="F20" s="311"/>
      <c r="G20" s="312"/>
      <c r="H20" s="313"/>
      <c r="I20" s="313"/>
      <c r="J20" s="313"/>
      <c r="K20" s="313"/>
      <c r="L20" s="313"/>
    </row>
  </sheetData>
  <printOptions horizontalCentered="1"/>
  <pageMargins left="0.7" right="0.7" top="0.75" bottom="0.75" header="0.3" footer="0.3"/>
  <pageSetup scale="86" fitToHeight="0" orientation="landscape" r:id="rId1"/>
  <headerFooter differentOddEven="1">
    <oddFooter>&amp;L&amp;"Arial"&amp;8Tyler Spencer&amp;C&amp;"Arial"&amp;8&amp;INot associated with PayPal. For educational purposes only.&amp;R&amp;"Arial"&amp;8Page &amp;P</oddFooter>
    <evenFooter>&amp;L&amp;"Arial"&amp;8Tyler Spencer&amp;C&amp;"Arial"&amp;8&amp;INot associated with PayPal. For educational purposes only.&amp;R&amp;"Arial"&amp;8Page &amp;P</even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E8FD8-F26D-4921-911F-2F8F8779E3FB}">
  <sheetPr>
    <pageSetUpPr fitToPage="1"/>
  </sheetPr>
  <dimension ref="B1:L102"/>
  <sheetViews>
    <sheetView topLeftCell="A62" zoomScaleNormal="100" workbookViewId="0">
      <selection activeCell="I9" sqref="I9"/>
    </sheetView>
  </sheetViews>
  <sheetFormatPr defaultColWidth="8.88671875" defaultRowHeight="13.8"/>
  <cols>
    <col min="1" max="1" width="2.6640625" style="55" customWidth="1"/>
    <col min="2" max="2" width="3.6640625" style="55" customWidth="1"/>
    <col min="3" max="3" width="29.88671875" style="55" customWidth="1"/>
    <col min="4" max="4" width="6.5546875" style="55" customWidth="1"/>
    <col min="5" max="12" width="12.33203125" style="55" customWidth="1"/>
    <col min="13" max="16384" width="8.88671875" style="55"/>
  </cols>
  <sheetData>
    <row r="1" spans="2:12" s="56" customFormat="1" ht="13.2">
      <c r="F1" s="323"/>
      <c r="G1" s="321"/>
      <c r="I1" s="218"/>
      <c r="L1" s="725" t="str">
        <f>"CURRENTLY RUNNING: "&amp;UPPER(CHOOSE(Scenarios!$C$6,Scenarios!B10,Scenarios!B11,Scenarios!B12))&amp;" SCENARIO"</f>
        <v>CURRENTLY RUNNING: BASE CASE SCENARIO</v>
      </c>
    </row>
    <row r="2" spans="2:12" ht="22.8">
      <c r="B2" s="201" t="str">
        <f>Cover!$B$7</f>
        <v>PayPal</v>
      </c>
      <c r="C2" s="57"/>
      <c r="D2" s="58"/>
      <c r="E2" s="58"/>
      <c r="F2" s="58"/>
      <c r="G2" s="58"/>
      <c r="H2" s="58"/>
      <c r="I2" s="58"/>
      <c r="J2" s="58"/>
      <c r="K2" s="58"/>
      <c r="L2" s="58"/>
    </row>
    <row r="3" spans="2:12" ht="18" thickBot="1">
      <c r="B3" s="219" t="s">
        <v>343</v>
      </c>
      <c r="C3" s="3"/>
      <c r="D3" s="4"/>
      <c r="E3" s="4"/>
      <c r="F3" s="5"/>
      <c r="G3" s="4"/>
      <c r="H3" s="4"/>
      <c r="I3" s="4"/>
      <c r="J3" s="4"/>
      <c r="K3" s="4"/>
      <c r="L3" s="4"/>
    </row>
    <row r="4" spans="2:12">
      <c r="B4" s="220" t="s">
        <v>93</v>
      </c>
      <c r="C4" s="34"/>
      <c r="D4" s="56"/>
      <c r="E4" s="20"/>
      <c r="F4" s="20"/>
      <c r="G4" s="34"/>
      <c r="H4" s="56"/>
      <c r="I4" s="56"/>
      <c r="J4" s="56"/>
      <c r="K4" s="56"/>
      <c r="L4" s="56"/>
    </row>
    <row r="5" spans="2:12">
      <c r="C5" s="56"/>
      <c r="D5" s="56"/>
      <c r="E5" s="131"/>
      <c r="F5" s="132"/>
      <c r="G5" s="56"/>
      <c r="H5" s="202" t="s">
        <v>94</v>
      </c>
      <c r="I5" s="75"/>
      <c r="J5" s="75"/>
      <c r="K5" s="75"/>
      <c r="L5" s="75"/>
    </row>
    <row r="6" spans="2:12">
      <c r="C6" s="131"/>
      <c r="D6" s="131"/>
      <c r="E6" s="131"/>
      <c r="F6" s="132"/>
      <c r="G6" s="56"/>
      <c r="H6" s="363">
        <f>DCF!E13</f>
        <v>2026</v>
      </c>
      <c r="I6" s="363">
        <f>DCF!F13</f>
        <v>2027</v>
      </c>
      <c r="J6" s="363">
        <f>DCF!G13</f>
        <v>2028</v>
      </c>
      <c r="K6" s="363">
        <f>DCF!H13</f>
        <v>2029</v>
      </c>
      <c r="L6" s="363">
        <f>DCF!I13</f>
        <v>2030</v>
      </c>
    </row>
    <row r="7" spans="2:12">
      <c r="B7" s="229" t="s">
        <v>625</v>
      </c>
      <c r="C7" s="131"/>
      <c r="D7" s="131"/>
      <c r="E7" s="131"/>
      <c r="F7" s="132"/>
      <c r="G7" s="56"/>
      <c r="H7" s="363"/>
      <c r="I7" s="363"/>
      <c r="J7" s="363"/>
      <c r="K7" s="363"/>
      <c r="L7" s="363"/>
    </row>
    <row r="8" spans="2:12">
      <c r="B8" s="277" t="s">
        <v>18</v>
      </c>
      <c r="C8" s="131"/>
      <c r="D8" s="131"/>
      <c r="E8" s="131"/>
      <c r="F8" s="132"/>
      <c r="G8" s="56"/>
      <c r="H8" s="26"/>
      <c r="I8" s="79"/>
      <c r="J8" s="79"/>
      <c r="K8" s="79"/>
      <c r="L8" s="79"/>
    </row>
    <row r="9" spans="2:12">
      <c r="B9" s="324" t="s">
        <v>48</v>
      </c>
      <c r="C9" s="131"/>
      <c r="D9" s="131"/>
      <c r="E9" s="131"/>
      <c r="F9" s="132"/>
      <c r="G9" s="56"/>
      <c r="H9" s="149">
        <f>'CFS Pro Forma'!H33</f>
        <v>1000</v>
      </c>
      <c r="I9" s="127">
        <f ca="1">H12</f>
        <v>1000</v>
      </c>
      <c r="J9" s="149">
        <f ca="1">'CFS Pro Forma'!J33</f>
        <v>1000</v>
      </c>
      <c r="K9" s="149">
        <f ca="1">'CFS Pro Forma'!K33</f>
        <v>1000</v>
      </c>
      <c r="L9" s="149">
        <f ca="1">'CFS Pro Forma'!L33</f>
        <v>1000</v>
      </c>
    </row>
    <row r="10" spans="2:12">
      <c r="B10" s="325" t="s">
        <v>11</v>
      </c>
      <c r="C10" s="131"/>
      <c r="D10" s="131"/>
      <c r="E10" s="131"/>
      <c r="F10" s="132"/>
      <c r="G10" s="56"/>
      <c r="H10" s="149">
        <f ca="1">'CFS Pro Forma'!H29</f>
        <v>3762.669903422051</v>
      </c>
      <c r="I10" s="149">
        <f ca="1">'CFS Pro Forma'!I29</f>
        <v>3840.10215202172</v>
      </c>
      <c r="J10" s="149">
        <f ca="1">'CFS Pro Forma'!J29</f>
        <v>4065.1991701572306</v>
      </c>
      <c r="K10" s="149">
        <f ca="1">'CFS Pro Forma'!K29</f>
        <v>4426.2826978069043</v>
      </c>
      <c r="L10" s="149">
        <f ca="1">'CFS Pro Forma'!L29</f>
        <v>4904.7399401418861</v>
      </c>
    </row>
    <row r="11" spans="2:12">
      <c r="B11" s="325" t="s">
        <v>353</v>
      </c>
      <c r="C11" s="131"/>
      <c r="D11" s="131"/>
      <c r="E11" s="131"/>
      <c r="F11" s="132"/>
      <c r="G11" s="56"/>
      <c r="H11" s="127">
        <f ca="1">-(H32+H40)</f>
        <v>-3762.669903422051</v>
      </c>
      <c r="I11" s="127">
        <f t="shared" ref="I11:L11" ca="1" si="0">-(I32+I40)</f>
        <v>-3840.10215202172</v>
      </c>
      <c r="J11" s="127">
        <f t="shared" ca="1" si="0"/>
        <v>-4065.1991701572306</v>
      </c>
      <c r="K11" s="127">
        <f t="shared" ca="1" si="0"/>
        <v>-4426.2826978069043</v>
      </c>
      <c r="L11" s="127">
        <f t="shared" ca="1" si="0"/>
        <v>-4904.7399401418861</v>
      </c>
    </row>
    <row r="12" spans="2:12">
      <c r="B12" s="326" t="s">
        <v>49</v>
      </c>
      <c r="C12" s="131"/>
      <c r="D12" s="131"/>
      <c r="E12" s="131"/>
      <c r="F12" s="132"/>
      <c r="G12" s="56"/>
      <c r="H12" s="127">
        <f ca="1">SUM(H9:H11)</f>
        <v>1000</v>
      </c>
      <c r="I12" s="127">
        <f t="shared" ref="I12:L12" ca="1" si="1">SUM(I9:I11)</f>
        <v>1000</v>
      </c>
      <c r="J12" s="127">
        <f t="shared" ca="1" si="1"/>
        <v>1000</v>
      </c>
      <c r="K12" s="127">
        <f t="shared" ca="1" si="1"/>
        <v>1000</v>
      </c>
      <c r="L12" s="127">
        <f t="shared" ca="1" si="1"/>
        <v>1000</v>
      </c>
    </row>
    <row r="13" spans="2:12">
      <c r="B13" s="324" t="s">
        <v>19</v>
      </c>
      <c r="C13" s="131"/>
      <c r="D13" s="131"/>
      <c r="E13" s="131"/>
      <c r="F13" s="132"/>
      <c r="G13" s="56"/>
      <c r="H13" s="327">
        <f>Assumptions!N28</f>
        <v>0.03</v>
      </c>
      <c r="I13" s="224">
        <f>H13</f>
        <v>0.03</v>
      </c>
      <c r="J13" s="224">
        <f>I13</f>
        <v>0.03</v>
      </c>
      <c r="K13" s="224">
        <f>J13</f>
        <v>0.03</v>
      </c>
      <c r="L13" s="224">
        <f>K13</f>
        <v>0.03</v>
      </c>
    </row>
    <row r="14" spans="2:12">
      <c r="B14" s="324" t="s">
        <v>4</v>
      </c>
      <c r="C14" s="131"/>
      <c r="D14" s="131"/>
      <c r="E14" s="131"/>
      <c r="F14" s="132"/>
      <c r="G14" s="56"/>
      <c r="H14" s="127">
        <f ca="1">IF(Assumptions!$N$44="OFF",MAX(AVERAGE(H9,H12)*H13,0),0)</f>
        <v>30</v>
      </c>
      <c r="I14" s="127">
        <f ca="1">IF(Assumptions!$N$44="OFF",MAX(AVERAGE(I9,I12)*I13,0),0)</f>
        <v>30</v>
      </c>
      <c r="J14" s="127">
        <f ca="1">IF(Assumptions!$N$44="OFF",MAX(AVERAGE(J9,J12)*J13,0),0)</f>
        <v>30</v>
      </c>
      <c r="K14" s="127">
        <f ca="1">IF(Assumptions!$N$44="OFF",MAX(AVERAGE(K9,K12)*K13,0),0)</f>
        <v>30</v>
      </c>
      <c r="L14" s="127">
        <f ca="1">IF(Assumptions!$N$44="OFF",MAX(AVERAGE(L9,L12)*L13,0),0)</f>
        <v>30</v>
      </c>
    </row>
    <row r="15" spans="2:12">
      <c r="B15" s="133"/>
      <c r="C15" s="131"/>
      <c r="D15" s="131"/>
      <c r="E15" s="134"/>
      <c r="F15" s="134"/>
      <c r="G15" s="56"/>
      <c r="H15" s="134"/>
      <c r="I15" s="134"/>
      <c r="J15" s="134"/>
      <c r="K15" s="134"/>
      <c r="L15" s="56"/>
    </row>
    <row r="16" spans="2:12">
      <c r="B16" s="125" t="s">
        <v>9</v>
      </c>
      <c r="C16" s="134"/>
      <c r="D16" s="134"/>
      <c r="E16" s="56"/>
      <c r="F16" s="56"/>
      <c r="G16" s="56"/>
      <c r="H16" s="56"/>
      <c r="I16" s="56"/>
      <c r="J16" s="56"/>
      <c r="K16" s="56"/>
      <c r="L16" s="56"/>
    </row>
    <row r="17" spans="2:12">
      <c r="B17" s="328" t="s">
        <v>52</v>
      </c>
      <c r="C17" s="56"/>
      <c r="D17" s="56"/>
      <c r="E17" s="56"/>
      <c r="F17" s="56"/>
      <c r="G17" s="56"/>
      <c r="H17" s="127">
        <f>H9</f>
        <v>1000</v>
      </c>
      <c r="I17" s="127">
        <f ca="1">I9</f>
        <v>1000</v>
      </c>
      <c r="J17" s="127">
        <f ca="1">J9</f>
        <v>1000</v>
      </c>
      <c r="K17" s="127">
        <f ca="1">K9</f>
        <v>1000</v>
      </c>
      <c r="L17" s="127">
        <f ca="1">L9</f>
        <v>1000</v>
      </c>
    </row>
    <row r="18" spans="2:12">
      <c r="B18" s="328" t="s">
        <v>15</v>
      </c>
      <c r="C18" s="56"/>
      <c r="D18" s="56"/>
      <c r="E18" s="56"/>
      <c r="F18" s="56"/>
      <c r="G18" s="56"/>
      <c r="H18" s="127">
        <f>-LBO!$E$13</f>
        <v>-1000</v>
      </c>
      <c r="I18" s="127">
        <f>-LBO!$E$13</f>
        <v>-1000</v>
      </c>
      <c r="J18" s="127">
        <f>-LBO!$E$13</f>
        <v>-1000</v>
      </c>
      <c r="K18" s="127">
        <f>-LBO!$E$13</f>
        <v>-1000</v>
      </c>
      <c r="L18" s="127">
        <f>-LBO!$E$13</f>
        <v>-1000</v>
      </c>
    </row>
    <row r="19" spans="2:12">
      <c r="B19" s="328" t="s">
        <v>16</v>
      </c>
      <c r="C19" s="56"/>
      <c r="D19" s="56"/>
      <c r="E19" s="56"/>
      <c r="F19" s="56"/>
      <c r="G19" s="56"/>
      <c r="H19" s="127">
        <f>SUM(H17:H18)</f>
        <v>0</v>
      </c>
      <c r="I19" s="127">
        <f t="shared" ref="I19:L19" ca="1" si="2">SUM(I17:I18)</f>
        <v>0</v>
      </c>
      <c r="J19" s="127">
        <f t="shared" ca="1" si="2"/>
        <v>0</v>
      </c>
      <c r="K19" s="127">
        <f t="shared" ca="1" si="2"/>
        <v>0</v>
      </c>
      <c r="L19" s="127">
        <f t="shared" ca="1" si="2"/>
        <v>0</v>
      </c>
    </row>
    <row r="20" spans="2:12">
      <c r="B20" s="329" t="s">
        <v>17</v>
      </c>
      <c r="C20" s="56"/>
      <c r="D20" s="56"/>
      <c r="E20" s="56"/>
      <c r="F20" s="56"/>
      <c r="G20" s="56"/>
      <c r="H20" s="149">
        <f ca="1">'CFS Pro Forma'!H29</f>
        <v>3762.669903422051</v>
      </c>
      <c r="I20" s="149">
        <f ca="1">'CFS Pro Forma'!I29</f>
        <v>3840.10215202172</v>
      </c>
      <c r="J20" s="149">
        <f ca="1">'CFS Pro Forma'!J29</f>
        <v>4065.1991701572306</v>
      </c>
      <c r="K20" s="149">
        <f ca="1">'CFS Pro Forma'!K29</f>
        <v>4426.2826978069043</v>
      </c>
      <c r="L20" s="149">
        <f ca="1">'CFS Pro Forma'!L29</f>
        <v>4904.7399401418861</v>
      </c>
    </row>
    <row r="21" spans="2:12">
      <c r="B21" s="330" t="s">
        <v>53</v>
      </c>
      <c r="C21" s="56"/>
      <c r="D21" s="56"/>
      <c r="E21" s="56"/>
      <c r="F21" s="56"/>
      <c r="G21" s="56"/>
      <c r="H21" s="127">
        <f ca="1">SUM(H19:H20)</f>
        <v>3762.669903422051</v>
      </c>
      <c r="I21" s="127">
        <f t="shared" ref="I21:L21" ca="1" si="3">SUM(I19:I20)</f>
        <v>3840.10215202172</v>
      </c>
      <c r="J21" s="127">
        <f t="shared" ca="1" si="3"/>
        <v>4065.1991701572306</v>
      </c>
      <c r="K21" s="127">
        <f t="shared" ca="1" si="3"/>
        <v>4426.2826978069043</v>
      </c>
      <c r="L21" s="127">
        <f t="shared" ca="1" si="3"/>
        <v>4904.7399401418861</v>
      </c>
    </row>
    <row r="22" spans="2:12">
      <c r="B22" s="56"/>
      <c r="C22" s="56"/>
      <c r="D22" s="56"/>
      <c r="E22" s="56"/>
      <c r="F22" s="56"/>
      <c r="G22" s="56"/>
      <c r="H22" s="76"/>
      <c r="I22" s="76"/>
      <c r="J22" s="76"/>
      <c r="K22" s="76"/>
      <c r="L22" s="56"/>
    </row>
    <row r="23" spans="2:12">
      <c r="B23" s="324" t="s">
        <v>50</v>
      </c>
      <c r="C23" s="56"/>
      <c r="D23" s="56"/>
      <c r="E23" s="56"/>
      <c r="F23" s="56"/>
      <c r="G23" s="56"/>
      <c r="H23" s="149">
        <f>LBO!$D$43</f>
        <v>0</v>
      </c>
      <c r="I23" s="149">
        <f>LBO!$D$43</f>
        <v>0</v>
      </c>
      <c r="J23" s="149">
        <f>LBO!$D$43</f>
        <v>0</v>
      </c>
      <c r="K23" s="149">
        <f>LBO!$D$43</f>
        <v>0</v>
      </c>
      <c r="L23" s="149">
        <f>LBO!$D$43</f>
        <v>0</v>
      </c>
    </row>
    <row r="24" spans="2:12">
      <c r="B24" s="325" t="s">
        <v>11</v>
      </c>
      <c r="C24" s="56"/>
      <c r="D24" s="56"/>
      <c r="E24" s="56"/>
      <c r="F24" s="56"/>
      <c r="G24" s="56"/>
      <c r="H24" s="127">
        <f ca="1">MIN(H23,H21)</f>
        <v>0</v>
      </c>
      <c r="I24" s="127">
        <f t="shared" ref="I24:L24" ca="1" si="4">MIN(I23,I21)</f>
        <v>0</v>
      </c>
      <c r="J24" s="127">
        <f t="shared" ca="1" si="4"/>
        <v>0</v>
      </c>
      <c r="K24" s="127">
        <f t="shared" ca="1" si="4"/>
        <v>0</v>
      </c>
      <c r="L24" s="127">
        <f t="shared" ca="1" si="4"/>
        <v>0</v>
      </c>
    </row>
    <row r="25" spans="2:12">
      <c r="B25" s="326" t="s">
        <v>51</v>
      </c>
      <c r="C25" s="56"/>
      <c r="D25" s="56"/>
      <c r="E25" s="56"/>
      <c r="F25" s="56"/>
      <c r="G25" s="56"/>
      <c r="H25" s="127">
        <f ca="1">SUM(H23:H24)</f>
        <v>0</v>
      </c>
      <c r="I25" s="127">
        <f t="shared" ref="I25:L25" ca="1" si="5">SUM(I23:I24)</f>
        <v>0</v>
      </c>
      <c r="J25" s="127">
        <f t="shared" ca="1" si="5"/>
        <v>0</v>
      </c>
      <c r="K25" s="127">
        <f t="shared" ca="1" si="5"/>
        <v>0</v>
      </c>
      <c r="L25" s="127">
        <f t="shared" ca="1" si="5"/>
        <v>0</v>
      </c>
    </row>
    <row r="26" spans="2:12">
      <c r="B26" s="330" t="s">
        <v>13</v>
      </c>
      <c r="C26" s="56"/>
      <c r="D26" s="56"/>
      <c r="E26" s="56"/>
      <c r="F26" s="56"/>
      <c r="G26" s="56"/>
      <c r="H26" s="143">
        <v>5000</v>
      </c>
      <c r="I26" s="127">
        <f>H26</f>
        <v>5000</v>
      </c>
      <c r="J26" s="127">
        <f t="shared" ref="J26:L26" si="6">I26</f>
        <v>5000</v>
      </c>
      <c r="K26" s="127">
        <f t="shared" si="6"/>
        <v>5000</v>
      </c>
      <c r="L26" s="127">
        <f t="shared" si="6"/>
        <v>5000</v>
      </c>
    </row>
    <row r="27" spans="2:12">
      <c r="B27" s="330" t="s">
        <v>14</v>
      </c>
      <c r="C27" s="56"/>
      <c r="D27" s="56"/>
      <c r="E27" s="56"/>
      <c r="F27" s="56"/>
      <c r="G27" s="56"/>
      <c r="H27" s="278" t="str">
        <f ca="1">IF(H25&gt;H26,"OVERDRAWN","OK")</f>
        <v>OK</v>
      </c>
      <c r="I27" s="278" t="str">
        <f t="shared" ref="I27:L27" ca="1" si="7">IF(I25&gt;I26,"OVERDRAWN","OK")</f>
        <v>OK</v>
      </c>
      <c r="J27" s="278" t="str">
        <f t="shared" ca="1" si="7"/>
        <v>OK</v>
      </c>
      <c r="K27" s="278" t="str">
        <f t="shared" ca="1" si="7"/>
        <v>OK</v>
      </c>
      <c r="L27" s="278" t="str">
        <f t="shared" ca="1" si="7"/>
        <v>OK</v>
      </c>
    </row>
    <row r="28" spans="2:12">
      <c r="B28" s="56"/>
      <c r="C28" s="56"/>
      <c r="D28" s="56"/>
      <c r="E28" s="56"/>
      <c r="F28" s="56"/>
      <c r="G28" s="56"/>
      <c r="H28" s="76"/>
      <c r="I28" s="76"/>
      <c r="J28" s="76"/>
      <c r="K28" s="76"/>
      <c r="L28" s="56"/>
    </row>
    <row r="29" spans="2:12">
      <c r="B29" s="331" t="s">
        <v>40</v>
      </c>
      <c r="C29" s="56"/>
      <c r="D29" s="56"/>
      <c r="E29" s="56"/>
      <c r="F29" s="56"/>
      <c r="G29" s="56"/>
      <c r="H29" s="76"/>
      <c r="I29" s="76"/>
      <c r="J29" s="76"/>
      <c r="K29" s="76"/>
      <c r="L29" s="56"/>
    </row>
    <row r="30" spans="2:12">
      <c r="B30" s="324" t="s">
        <v>42</v>
      </c>
      <c r="C30" s="56"/>
      <c r="D30" s="56"/>
      <c r="E30" s="56"/>
      <c r="F30" s="56"/>
      <c r="G30" s="56"/>
      <c r="H30" s="149">
        <f>LBO!D44</f>
        <v>13504</v>
      </c>
      <c r="I30" s="127">
        <f ca="1">H33</f>
        <v>13368.96</v>
      </c>
      <c r="J30" s="127">
        <f ca="1">I33</f>
        <v>13235.270399999999</v>
      </c>
      <c r="K30" s="127">
        <f ca="1">J33</f>
        <v>11375.412894997313</v>
      </c>
      <c r="L30" s="127">
        <f ca="1">K33</f>
        <v>6835.3760682404354</v>
      </c>
    </row>
    <row r="31" spans="2:12">
      <c r="B31" s="324" t="s">
        <v>46</v>
      </c>
      <c r="C31" s="56"/>
      <c r="D31" s="56"/>
      <c r="E31" s="56"/>
      <c r="F31" s="56"/>
      <c r="G31" s="56"/>
      <c r="H31" s="127">
        <f>(H30*H34)</f>
        <v>135.04</v>
      </c>
      <c r="I31" s="127">
        <f t="shared" ref="I31:L31" ca="1" si="8">(I30*I34)</f>
        <v>133.68959999999998</v>
      </c>
      <c r="J31" s="127">
        <f t="shared" ca="1" si="8"/>
        <v>132.35270399999999</v>
      </c>
      <c r="K31" s="127">
        <f t="shared" ca="1" si="8"/>
        <v>113.75412894997314</v>
      </c>
      <c r="L31" s="127">
        <f t="shared" ca="1" si="8"/>
        <v>68.353760682404356</v>
      </c>
    </row>
    <row r="32" spans="2:12">
      <c r="B32" s="324" t="s">
        <v>47</v>
      </c>
      <c r="C32" s="56"/>
      <c r="D32" s="56"/>
      <c r="E32" s="56"/>
      <c r="F32" s="56"/>
      <c r="G32" s="56"/>
      <c r="H32" s="127">
        <f ca="1">MIN(H35,H30-H31)</f>
        <v>0</v>
      </c>
      <c r="I32" s="127">
        <f t="shared" ref="I32:L32" ca="1" si="9">MIN(I35,I30-I31)</f>
        <v>0</v>
      </c>
      <c r="J32" s="127">
        <f t="shared" ca="1" si="9"/>
        <v>1727.5048010026858</v>
      </c>
      <c r="K32" s="127">
        <f ca="1">MIN(K35,K30-K31)</f>
        <v>4426.2826978069043</v>
      </c>
      <c r="L32" s="127">
        <f t="shared" ca="1" si="9"/>
        <v>4904.7399401418861</v>
      </c>
    </row>
    <row r="33" spans="2:12">
      <c r="B33" s="326" t="s">
        <v>45</v>
      </c>
      <c r="C33" s="56"/>
      <c r="D33" s="56"/>
      <c r="E33" s="56"/>
      <c r="F33" s="56"/>
      <c r="G33" s="56"/>
      <c r="H33" s="127">
        <f ca="1">H30-H31-H32</f>
        <v>13368.96</v>
      </c>
      <c r="I33" s="127">
        <f t="shared" ref="I33:L33" ca="1" si="10">I30-I31-I32</f>
        <v>13235.270399999999</v>
      </c>
      <c r="J33" s="127">
        <f t="shared" ca="1" si="10"/>
        <v>11375.412894997313</v>
      </c>
      <c r="K33" s="127">
        <f t="shared" ca="1" si="10"/>
        <v>6835.3760682404354</v>
      </c>
      <c r="L33" s="127">
        <f t="shared" ca="1" si="10"/>
        <v>1862.2823674161446</v>
      </c>
    </row>
    <row r="34" spans="2:12">
      <c r="B34" s="330" t="s">
        <v>56</v>
      </c>
      <c r="C34" s="56"/>
      <c r="D34" s="56"/>
      <c r="E34" s="56"/>
      <c r="F34" s="56"/>
      <c r="G34" s="56"/>
      <c r="H34" s="147">
        <v>0.01</v>
      </c>
      <c r="I34" s="950">
        <f>H34</f>
        <v>0.01</v>
      </c>
      <c r="J34" s="950">
        <f t="shared" ref="J34:L34" si="11">I34</f>
        <v>0.01</v>
      </c>
      <c r="K34" s="950">
        <f t="shared" si="11"/>
        <v>0.01</v>
      </c>
      <c r="L34" s="950">
        <f t="shared" si="11"/>
        <v>0.01</v>
      </c>
    </row>
    <row r="35" spans="2:12">
      <c r="B35" s="330" t="s">
        <v>64</v>
      </c>
      <c r="C35" s="56"/>
      <c r="D35" s="56"/>
      <c r="E35" s="56"/>
      <c r="F35" s="56"/>
      <c r="G35" s="56"/>
      <c r="H35" s="127">
        <f ca="1">H21-H40</f>
        <v>0</v>
      </c>
      <c r="I35" s="127">
        <f t="shared" ref="I35:L35" ca="1" si="12">I21-I40</f>
        <v>0</v>
      </c>
      <c r="J35" s="127">
        <f t="shared" ca="1" si="12"/>
        <v>1727.5048010026858</v>
      </c>
      <c r="K35" s="127">
        <f ca="1">K21-K40</f>
        <v>4426.2826978069043</v>
      </c>
      <c r="L35" s="127">
        <f t="shared" ca="1" si="12"/>
        <v>4904.7399401418861</v>
      </c>
    </row>
    <row r="36" spans="2:12">
      <c r="B36" s="332"/>
      <c r="C36" s="56"/>
      <c r="D36" s="56"/>
      <c r="E36" s="56"/>
      <c r="F36" s="56"/>
      <c r="G36" s="56"/>
      <c r="H36" s="76"/>
      <c r="I36" s="76"/>
      <c r="J36" s="76"/>
      <c r="K36" s="76"/>
      <c r="L36" s="56"/>
    </row>
    <row r="37" spans="2:12">
      <c r="B37" s="331" t="s">
        <v>41</v>
      </c>
      <c r="C37" s="56"/>
      <c r="D37" s="56"/>
      <c r="E37" s="56"/>
      <c r="F37" s="56"/>
      <c r="G37" s="56"/>
      <c r="H37" s="76"/>
      <c r="I37" s="76"/>
      <c r="J37" s="76"/>
      <c r="K37" s="76"/>
      <c r="L37" s="56"/>
    </row>
    <row r="38" spans="2:12">
      <c r="B38" s="324" t="s">
        <v>43</v>
      </c>
      <c r="C38" s="56"/>
      <c r="D38" s="56"/>
      <c r="E38" s="56"/>
      <c r="F38" s="56"/>
      <c r="G38" s="56"/>
      <c r="H38" s="149">
        <f>LBO!D45</f>
        <v>10128</v>
      </c>
      <c r="I38" s="127">
        <f ca="1">H41</f>
        <v>6264.0500965779484</v>
      </c>
      <c r="J38" s="127">
        <f ca="1">I41</f>
        <v>2361.3074435904491</v>
      </c>
      <c r="K38" s="127">
        <f ca="1">J41</f>
        <v>0</v>
      </c>
      <c r="L38" s="127">
        <f ca="1">K41</f>
        <v>0</v>
      </c>
    </row>
    <row r="39" spans="2:12">
      <c r="B39" s="324" t="s">
        <v>39</v>
      </c>
      <c r="C39" s="56"/>
      <c r="D39" s="56"/>
      <c r="E39" s="56"/>
      <c r="F39" s="56"/>
      <c r="G39" s="56"/>
      <c r="H39" s="127">
        <f>(H38*H42)</f>
        <v>101.28</v>
      </c>
      <c r="I39" s="127">
        <f t="shared" ref="I39:L39" ca="1" si="13">(I38*I42)</f>
        <v>62.640500965779488</v>
      </c>
      <c r="J39" s="127">
        <f t="shared" ca="1" si="13"/>
        <v>23.61307443590449</v>
      </c>
      <c r="K39" s="127">
        <f t="shared" ca="1" si="13"/>
        <v>0</v>
      </c>
      <c r="L39" s="127">
        <f t="shared" ca="1" si="13"/>
        <v>0</v>
      </c>
    </row>
    <row r="40" spans="2:12">
      <c r="B40" s="324" t="s">
        <v>47</v>
      </c>
      <c r="C40" s="56"/>
      <c r="D40" s="56"/>
      <c r="E40" s="56"/>
      <c r="F40" s="56"/>
      <c r="G40" s="56"/>
      <c r="H40" s="127">
        <f ca="1">MIN(H43,H38-H39)</f>
        <v>3762.669903422051</v>
      </c>
      <c r="I40" s="127">
        <f t="shared" ref="I40:L40" ca="1" si="14">MIN(I43,I38-I39)</f>
        <v>3840.10215202172</v>
      </c>
      <c r="J40" s="127">
        <f ca="1">MIN(J43,J38-J39)</f>
        <v>2337.6943691545448</v>
      </c>
      <c r="K40" s="127">
        <f t="shared" ca="1" si="14"/>
        <v>0</v>
      </c>
      <c r="L40" s="127">
        <f t="shared" ca="1" si="14"/>
        <v>0</v>
      </c>
    </row>
    <row r="41" spans="2:12">
      <c r="B41" s="326" t="s">
        <v>44</v>
      </c>
      <c r="C41" s="56"/>
      <c r="D41" s="56"/>
      <c r="E41" s="56"/>
      <c r="F41" s="56"/>
      <c r="G41" s="56"/>
      <c r="H41" s="127">
        <f ca="1">H38-H39-H40</f>
        <v>6264.0500965779484</v>
      </c>
      <c r="I41" s="127">
        <f t="shared" ref="I41:L41" ca="1" si="15">I38-I39-I40</f>
        <v>2361.3074435904491</v>
      </c>
      <c r="J41" s="127">
        <f t="shared" ca="1" si="15"/>
        <v>0</v>
      </c>
      <c r="K41" s="127">
        <f t="shared" ca="1" si="15"/>
        <v>0</v>
      </c>
      <c r="L41" s="127">
        <f t="shared" ca="1" si="15"/>
        <v>0</v>
      </c>
    </row>
    <row r="42" spans="2:12">
      <c r="B42" s="330" t="s">
        <v>56</v>
      </c>
      <c r="C42" s="56"/>
      <c r="D42" s="56"/>
      <c r="E42" s="56"/>
      <c r="F42" s="56"/>
      <c r="G42" s="56"/>
      <c r="H42" s="147">
        <v>0.01</v>
      </c>
      <c r="I42" s="950">
        <f>H42</f>
        <v>0.01</v>
      </c>
      <c r="J42" s="950">
        <f t="shared" ref="J42:L42" si="16">I42</f>
        <v>0.01</v>
      </c>
      <c r="K42" s="950">
        <f t="shared" si="16"/>
        <v>0.01</v>
      </c>
      <c r="L42" s="950">
        <f t="shared" si="16"/>
        <v>0.01</v>
      </c>
    </row>
    <row r="43" spans="2:12">
      <c r="B43" s="330" t="s">
        <v>64</v>
      </c>
      <c r="C43" s="56"/>
      <c r="D43" s="56"/>
      <c r="E43" s="56"/>
      <c r="F43" s="56"/>
      <c r="G43" s="56"/>
      <c r="H43" s="127">
        <f ca="1">H21+H24</f>
        <v>3762.669903422051</v>
      </c>
      <c r="I43" s="127">
        <f ca="1">I21+I24</f>
        <v>3840.10215202172</v>
      </c>
      <c r="J43" s="127">
        <f t="shared" ref="J43:L43" ca="1" si="17">J21+J24</f>
        <v>4065.1991701572306</v>
      </c>
      <c r="K43" s="127">
        <f t="shared" ca="1" si="17"/>
        <v>4426.2826978069043</v>
      </c>
      <c r="L43" s="127">
        <f t="shared" ca="1" si="17"/>
        <v>4904.7399401418861</v>
      </c>
    </row>
    <row r="44" spans="2:12">
      <c r="B44" s="333"/>
      <c r="C44" s="56"/>
      <c r="D44" s="56"/>
      <c r="E44" s="56"/>
      <c r="F44" s="56"/>
      <c r="G44" s="56"/>
      <c r="H44" s="76"/>
      <c r="I44" s="76"/>
      <c r="J44" s="76"/>
      <c r="K44" s="76"/>
      <c r="L44" s="56"/>
    </row>
    <row r="45" spans="2:12">
      <c r="B45" s="331" t="s">
        <v>341</v>
      </c>
      <c r="C45" s="56"/>
      <c r="D45" s="56"/>
      <c r="E45" s="56"/>
      <c r="F45" s="56"/>
      <c r="G45" s="56"/>
      <c r="H45" s="56"/>
      <c r="I45" s="76"/>
      <c r="J45" s="76"/>
      <c r="K45" s="76"/>
      <c r="L45" s="56"/>
    </row>
    <row r="46" spans="2:12">
      <c r="B46" s="324" t="s">
        <v>370</v>
      </c>
      <c r="C46" s="56"/>
      <c r="D46" s="56"/>
      <c r="E46" s="56"/>
      <c r="F46" s="56"/>
      <c r="G46" s="56"/>
      <c r="H46" s="149">
        <f>LBO!D46</f>
        <v>3376</v>
      </c>
      <c r="I46" s="127">
        <f>H48</f>
        <v>3376</v>
      </c>
      <c r="J46" s="127">
        <f>I48</f>
        <v>3376</v>
      </c>
      <c r="K46" s="127">
        <f>J48</f>
        <v>3376</v>
      </c>
      <c r="L46" s="127">
        <f>K48</f>
        <v>3376</v>
      </c>
    </row>
    <row r="47" spans="2:12">
      <c r="B47" s="324" t="s">
        <v>37</v>
      </c>
      <c r="C47" s="56"/>
      <c r="D47" s="56"/>
      <c r="E47" s="56"/>
      <c r="F47" s="56"/>
      <c r="G47" s="56"/>
      <c r="H47" s="143">
        <v>0</v>
      </c>
      <c r="I47" s="127">
        <f>H47</f>
        <v>0</v>
      </c>
      <c r="J47" s="127">
        <f t="shared" ref="J47:L47" si="18">I47</f>
        <v>0</v>
      </c>
      <c r="K47" s="127">
        <f t="shared" si="18"/>
        <v>0</v>
      </c>
      <c r="L47" s="127">
        <f t="shared" si="18"/>
        <v>0</v>
      </c>
    </row>
    <row r="48" spans="2:12">
      <c r="B48" s="326" t="s">
        <v>373</v>
      </c>
      <c r="C48" s="56"/>
      <c r="D48" s="56"/>
      <c r="E48" s="56"/>
      <c r="F48" s="56"/>
      <c r="G48" s="56"/>
      <c r="H48" s="127">
        <f>H46-H47</f>
        <v>3376</v>
      </c>
      <c r="I48" s="127">
        <f t="shared" ref="I48:L48" si="19">I46-I47</f>
        <v>3376</v>
      </c>
      <c r="J48" s="127">
        <f t="shared" si="19"/>
        <v>3376</v>
      </c>
      <c r="K48" s="127">
        <f t="shared" si="19"/>
        <v>3376</v>
      </c>
      <c r="L48" s="127">
        <f t="shared" si="19"/>
        <v>3376</v>
      </c>
    </row>
    <row r="49" spans="2:12">
      <c r="B49" s="330" t="s">
        <v>374</v>
      </c>
      <c r="C49" s="56"/>
      <c r="D49" s="56"/>
      <c r="E49" s="56"/>
      <c r="F49" s="56"/>
      <c r="G49" s="56"/>
      <c r="H49" s="147">
        <v>6.5000000000000002E-2</v>
      </c>
      <c r="I49" s="224">
        <f>H49</f>
        <v>6.5000000000000002E-2</v>
      </c>
      <c r="J49" s="224">
        <f t="shared" ref="J49:L49" si="20">I49</f>
        <v>6.5000000000000002E-2</v>
      </c>
      <c r="K49" s="224">
        <f t="shared" si="20"/>
        <v>6.5000000000000002E-2</v>
      </c>
      <c r="L49" s="224">
        <f t="shared" si="20"/>
        <v>6.5000000000000002E-2</v>
      </c>
    </row>
    <row r="50" spans="2:12">
      <c r="B50" s="330" t="s">
        <v>377</v>
      </c>
      <c r="C50" s="56"/>
      <c r="D50" s="56"/>
      <c r="E50" s="56"/>
      <c r="F50" s="56"/>
      <c r="G50" s="56"/>
      <c r="H50" s="334">
        <f>H49*H46</f>
        <v>219.44</v>
      </c>
      <c r="I50" s="334">
        <f t="shared" ref="I50:L50" si="21">I49*I46</f>
        <v>219.44</v>
      </c>
      <c r="J50" s="334">
        <f t="shared" si="21"/>
        <v>219.44</v>
      </c>
      <c r="K50" s="334">
        <f t="shared" si="21"/>
        <v>219.44</v>
      </c>
      <c r="L50" s="334">
        <f t="shared" si="21"/>
        <v>219.44</v>
      </c>
    </row>
    <row r="51" spans="2:12">
      <c r="B51" s="333"/>
      <c r="C51" s="56"/>
      <c r="D51" s="56"/>
      <c r="E51" s="56"/>
      <c r="F51" s="56"/>
      <c r="G51" s="56"/>
      <c r="H51" s="76"/>
      <c r="I51" s="76"/>
      <c r="J51" s="76"/>
      <c r="K51" s="76"/>
      <c r="L51" s="56"/>
    </row>
    <row r="52" spans="2:12">
      <c r="B52" s="331" t="s">
        <v>340</v>
      </c>
      <c r="C52" s="56"/>
      <c r="D52" s="56"/>
      <c r="E52" s="56"/>
      <c r="F52" s="56"/>
      <c r="G52" s="56"/>
      <c r="H52" s="76"/>
      <c r="I52" s="76"/>
      <c r="J52" s="76"/>
      <c r="K52" s="76"/>
      <c r="L52" s="56"/>
    </row>
    <row r="53" spans="2:12">
      <c r="B53" s="324" t="s">
        <v>371</v>
      </c>
      <c r="C53" s="56"/>
      <c r="D53" s="56"/>
      <c r="E53" s="56"/>
      <c r="F53" s="56"/>
      <c r="G53" s="56"/>
      <c r="H53" s="149">
        <f>LBO!D47</f>
        <v>3376</v>
      </c>
      <c r="I53" s="127">
        <f>H55</f>
        <v>3376</v>
      </c>
      <c r="J53" s="127">
        <f>I55</f>
        <v>3376</v>
      </c>
      <c r="K53" s="127">
        <f>J55</f>
        <v>3376</v>
      </c>
      <c r="L53" s="127">
        <f>K55</f>
        <v>3376</v>
      </c>
    </row>
    <row r="54" spans="2:12">
      <c r="B54" s="324" t="s">
        <v>37</v>
      </c>
      <c r="C54" s="56"/>
      <c r="D54" s="56"/>
      <c r="E54" s="56"/>
      <c r="F54" s="56"/>
      <c r="G54" s="56"/>
      <c r="H54" s="143">
        <v>0</v>
      </c>
      <c r="I54" s="127">
        <f>H54</f>
        <v>0</v>
      </c>
      <c r="J54" s="127">
        <f t="shared" ref="J54:L54" si="22">I54</f>
        <v>0</v>
      </c>
      <c r="K54" s="127">
        <f t="shared" si="22"/>
        <v>0</v>
      </c>
      <c r="L54" s="127">
        <f t="shared" si="22"/>
        <v>0</v>
      </c>
    </row>
    <row r="55" spans="2:12">
      <c r="B55" s="326" t="s">
        <v>372</v>
      </c>
      <c r="C55" s="56"/>
      <c r="D55" s="56"/>
      <c r="E55" s="56"/>
      <c r="F55" s="56"/>
      <c r="G55" s="56"/>
      <c r="H55" s="127">
        <f>H53-H54</f>
        <v>3376</v>
      </c>
      <c r="I55" s="127">
        <f t="shared" ref="I55:L55" si="23">I53-I54</f>
        <v>3376</v>
      </c>
      <c r="J55" s="127">
        <f t="shared" si="23"/>
        <v>3376</v>
      </c>
      <c r="K55" s="127">
        <f t="shared" si="23"/>
        <v>3376</v>
      </c>
      <c r="L55" s="127">
        <f t="shared" si="23"/>
        <v>3376</v>
      </c>
    </row>
    <row r="56" spans="2:12">
      <c r="B56" s="330" t="s">
        <v>374</v>
      </c>
      <c r="C56" s="56"/>
      <c r="D56" s="56"/>
      <c r="E56" s="56"/>
      <c r="F56" s="56"/>
      <c r="G56" s="56"/>
      <c r="H56" s="147">
        <v>7.4999999999999997E-2</v>
      </c>
      <c r="I56" s="224">
        <f>H56</f>
        <v>7.4999999999999997E-2</v>
      </c>
      <c r="J56" s="224">
        <f t="shared" ref="J56:L56" si="24">I56</f>
        <v>7.4999999999999997E-2</v>
      </c>
      <c r="K56" s="224">
        <f t="shared" si="24"/>
        <v>7.4999999999999997E-2</v>
      </c>
      <c r="L56" s="224">
        <f t="shared" si="24"/>
        <v>7.4999999999999997E-2</v>
      </c>
    </row>
    <row r="57" spans="2:12">
      <c r="B57" s="330" t="s">
        <v>377</v>
      </c>
      <c r="C57" s="56"/>
      <c r="D57" s="56"/>
      <c r="E57" s="56"/>
      <c r="F57" s="56"/>
      <c r="G57" s="56"/>
      <c r="H57" s="334">
        <f>H56*H53</f>
        <v>253.2</v>
      </c>
      <c r="I57" s="334">
        <f t="shared" ref="I57:L57" si="25">I56*I53</f>
        <v>253.2</v>
      </c>
      <c r="J57" s="334">
        <f t="shared" si="25"/>
        <v>253.2</v>
      </c>
      <c r="K57" s="334">
        <f t="shared" si="25"/>
        <v>253.2</v>
      </c>
      <c r="L57" s="334">
        <f t="shared" si="25"/>
        <v>253.2</v>
      </c>
    </row>
    <row r="58" spans="2:12">
      <c r="B58" s="333"/>
      <c r="C58" s="56"/>
      <c r="D58" s="56"/>
      <c r="E58" s="56"/>
      <c r="F58" s="56"/>
      <c r="G58" s="56"/>
      <c r="H58" s="76"/>
      <c r="I58" s="76"/>
      <c r="J58" s="76"/>
      <c r="K58" s="76"/>
      <c r="L58" s="56"/>
    </row>
    <row r="59" spans="2:12">
      <c r="B59" s="335" t="s">
        <v>74</v>
      </c>
      <c r="C59" s="56"/>
      <c r="D59" s="56"/>
      <c r="E59" s="56"/>
      <c r="F59" s="56"/>
      <c r="G59" s="56"/>
      <c r="H59" s="56"/>
      <c r="I59" s="76"/>
      <c r="J59" s="76"/>
      <c r="K59" s="76"/>
      <c r="L59" s="56"/>
    </row>
    <row r="60" spans="2:12">
      <c r="B60" s="324" t="s">
        <v>76</v>
      </c>
      <c r="C60" s="56"/>
      <c r="D60" s="56"/>
      <c r="E60" s="56"/>
      <c r="F60" s="76"/>
      <c r="G60" s="56"/>
      <c r="H60" s="149">
        <f>LBO!H48</f>
        <v>438.88</v>
      </c>
      <c r="I60" s="127">
        <f>H62</f>
        <v>376.18285714285713</v>
      </c>
      <c r="J60" s="127">
        <f>I62</f>
        <v>313.48571428571427</v>
      </c>
      <c r="K60" s="127">
        <f>J62</f>
        <v>250.7885714285714</v>
      </c>
      <c r="L60" s="127">
        <f>K62</f>
        <v>188.09142857142854</v>
      </c>
    </row>
    <row r="61" spans="2:12">
      <c r="B61" s="324" t="s">
        <v>37</v>
      </c>
      <c r="C61" s="56"/>
      <c r="D61" s="56"/>
      <c r="E61" s="135"/>
      <c r="F61" s="107"/>
      <c r="G61" s="56"/>
      <c r="H61" s="135">
        <f>-LBO!$J$48</f>
        <v>-62.697142857142858</v>
      </c>
      <c r="I61" s="135">
        <f>-LBO!$J$48</f>
        <v>-62.697142857142858</v>
      </c>
      <c r="J61" s="135">
        <f>-LBO!$J$48</f>
        <v>-62.697142857142858</v>
      </c>
      <c r="K61" s="135">
        <f>-LBO!$J$48</f>
        <v>-62.697142857142858</v>
      </c>
      <c r="L61" s="135">
        <f>-LBO!$J$48</f>
        <v>-62.697142857142858</v>
      </c>
    </row>
    <row r="62" spans="2:12">
      <c r="B62" s="121" t="s">
        <v>77</v>
      </c>
      <c r="C62" s="336"/>
      <c r="D62" s="136"/>
      <c r="E62" s="137"/>
      <c r="F62" s="137"/>
      <c r="G62" s="56"/>
      <c r="H62" s="127">
        <f>SUM(H60:H61)</f>
        <v>376.18285714285713</v>
      </c>
      <c r="I62" s="127">
        <f>SUM(I60:I61)</f>
        <v>313.48571428571427</v>
      </c>
      <c r="J62" s="127">
        <f>SUM(J60:J61)</f>
        <v>250.7885714285714</v>
      </c>
      <c r="K62" s="127">
        <f>SUM(K60:K61)</f>
        <v>188.09142857142854</v>
      </c>
      <c r="L62" s="127">
        <f>SUM(L60:L61)</f>
        <v>125.39428571428567</v>
      </c>
    </row>
    <row r="63" spans="2:12">
      <c r="B63" s="336"/>
      <c r="C63" s="336"/>
      <c r="D63" s="136"/>
      <c r="E63" s="137"/>
      <c r="F63" s="137"/>
      <c r="G63" s="56"/>
      <c r="H63" s="76"/>
      <c r="I63" s="76"/>
      <c r="J63" s="76"/>
      <c r="K63" s="76"/>
      <c r="L63" s="76"/>
    </row>
    <row r="64" spans="2:12">
      <c r="B64" s="315" t="s">
        <v>348</v>
      </c>
      <c r="C64" s="56"/>
      <c r="D64" s="56"/>
      <c r="E64" s="56"/>
      <c r="F64" s="56"/>
      <c r="G64" s="56"/>
      <c r="H64" s="319">
        <f>H47+H54+H39+H31</f>
        <v>236.32</v>
      </c>
      <c r="I64" s="319">
        <f t="shared" ref="I64:L64" ca="1" si="26">I47+I54+I39+I31</f>
        <v>196.33010096577948</v>
      </c>
      <c r="J64" s="319">
        <f t="shared" ca="1" si="26"/>
        <v>155.96577843590447</v>
      </c>
      <c r="K64" s="319">
        <f t="shared" ca="1" si="26"/>
        <v>113.75412894997314</v>
      </c>
      <c r="L64" s="319">
        <f t="shared" ca="1" si="26"/>
        <v>68.353760682404356</v>
      </c>
    </row>
    <row r="65" spans="2:12">
      <c r="B65" s="56"/>
      <c r="D65" s="56"/>
      <c r="E65" s="56"/>
      <c r="F65" s="56"/>
      <c r="G65" s="56"/>
      <c r="H65" s="56"/>
      <c r="I65" s="56"/>
      <c r="J65" s="56"/>
      <c r="K65" s="56"/>
      <c r="L65" s="56"/>
    </row>
    <row r="66" spans="2:12" ht="14.4" thickBot="1">
      <c r="B66" s="121" t="s">
        <v>381</v>
      </c>
      <c r="C66" s="11"/>
      <c r="D66" s="56"/>
      <c r="E66" s="56"/>
      <c r="F66" s="56"/>
      <c r="G66" s="56"/>
      <c r="H66" s="279">
        <f ca="1">H55+H48+H41+H33+H25</f>
        <v>26385.010096577949</v>
      </c>
      <c r="I66" s="279">
        <f t="shared" ref="I66:L66" ca="1" si="27">I55+I48+I41+I33+I25</f>
        <v>22348.57784359045</v>
      </c>
      <c r="J66" s="279">
        <f t="shared" ca="1" si="27"/>
        <v>18127.412894997313</v>
      </c>
      <c r="K66" s="279">
        <f t="shared" ca="1" si="27"/>
        <v>13587.376068240435</v>
      </c>
      <c r="L66" s="279">
        <f t="shared" ca="1" si="27"/>
        <v>8614.2823674161446</v>
      </c>
    </row>
    <row r="67" spans="2:12" ht="14.4" thickTop="1"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</row>
    <row r="68" spans="2:12"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</row>
    <row r="69" spans="2:12">
      <c r="B69" s="56"/>
      <c r="C69" s="11"/>
      <c r="D69" s="11"/>
      <c r="E69" s="11"/>
      <c r="F69" s="28"/>
      <c r="G69" s="56"/>
      <c r="H69" s="202" t="s">
        <v>94</v>
      </c>
      <c r="I69" s="75"/>
      <c r="J69" s="75"/>
      <c r="K69" s="75"/>
      <c r="L69" s="75"/>
    </row>
    <row r="70" spans="2:12">
      <c r="B70" s="56"/>
      <c r="C70" s="11"/>
      <c r="D70" s="11"/>
      <c r="E70" s="11"/>
      <c r="F70" s="28"/>
      <c r="G70" s="8"/>
      <c r="H70" s="256">
        <f>H6</f>
        <v>2026</v>
      </c>
      <c r="I70" s="256">
        <f>I6</f>
        <v>2027</v>
      </c>
      <c r="J70" s="256">
        <f>J6</f>
        <v>2028</v>
      </c>
      <c r="K70" s="256">
        <f>K6</f>
        <v>2029</v>
      </c>
      <c r="L70" s="256">
        <f>L6</f>
        <v>2030</v>
      </c>
    </row>
    <row r="71" spans="2:12">
      <c r="B71" s="336" t="s">
        <v>342</v>
      </c>
      <c r="C71" s="11"/>
      <c r="D71" s="11"/>
      <c r="E71" s="11"/>
      <c r="F71" s="28"/>
      <c r="G71" s="8"/>
      <c r="H71" s="297"/>
      <c r="I71" s="297"/>
      <c r="J71" s="297"/>
      <c r="K71" s="297"/>
      <c r="L71" s="297"/>
    </row>
    <row r="72" spans="2:12">
      <c r="B72" s="337" t="s">
        <v>347</v>
      </c>
      <c r="C72" s="338"/>
      <c r="D72" s="80"/>
      <c r="E72" s="56"/>
      <c r="F72" s="138"/>
      <c r="G72" s="138"/>
      <c r="H72" s="139">
        <v>3.5999999999999997E-2</v>
      </c>
      <c r="I72" s="949">
        <f>H72</f>
        <v>3.5999999999999997E-2</v>
      </c>
      <c r="J72" s="949">
        <f t="shared" ref="J72:L72" si="28">I72</f>
        <v>3.5999999999999997E-2</v>
      </c>
      <c r="K72" s="949">
        <f t="shared" si="28"/>
        <v>3.5999999999999997E-2</v>
      </c>
      <c r="L72" s="949">
        <f t="shared" si="28"/>
        <v>3.5999999999999997E-2</v>
      </c>
    </row>
    <row r="73" spans="2:12">
      <c r="B73" s="339"/>
      <c r="C73" s="338"/>
      <c r="D73" s="80"/>
      <c r="E73" s="56"/>
      <c r="F73" s="138"/>
      <c r="G73" s="138"/>
      <c r="H73" s="138"/>
      <c r="I73" s="138"/>
      <c r="J73" s="138"/>
      <c r="K73" s="56"/>
      <c r="L73" s="56"/>
    </row>
    <row r="74" spans="2:12">
      <c r="B74" s="332"/>
      <c r="C74" s="56"/>
      <c r="D74" s="56"/>
      <c r="E74" s="340" t="s">
        <v>344</v>
      </c>
      <c r="F74" s="340" t="s">
        <v>345</v>
      </c>
      <c r="G74" s="341"/>
      <c r="H74" s="138"/>
      <c r="I74" s="138"/>
      <c r="J74" s="138"/>
      <c r="K74" s="56"/>
      <c r="L74" s="56"/>
    </row>
    <row r="75" spans="2:12">
      <c r="B75" s="324" t="s">
        <v>9</v>
      </c>
      <c r="C75" s="56"/>
      <c r="D75" s="56"/>
      <c r="E75" s="140">
        <v>0.01</v>
      </c>
      <c r="F75" s="321">
        <v>0.01</v>
      </c>
      <c r="G75" s="56"/>
      <c r="H75" s="127">
        <f ca="1">IFERROR(IF(Assumptions!$N$44="OFF",($E$75+MAX(H72,$F$75))*AVERAGE(H23,H25),0),0)</f>
        <v>0</v>
      </c>
      <c r="I75" s="127">
        <f ca="1">IFERROR(IF(Assumptions!$N$44="OFF",($E$75+MAX(I72,$F$75))*AVERAGE(I23,I25),0),0)</f>
        <v>0</v>
      </c>
      <c r="J75" s="127">
        <f ca="1">IFERROR(IF(Assumptions!$N$44="OFF",($E$75+MAX(J72,$F$75))*AVERAGE(J23,J25),0),0)</f>
        <v>0</v>
      </c>
      <c r="K75" s="127">
        <f ca="1">IFERROR(IF(Assumptions!$N$44="OFF",($E$75+MAX(K72,$F$75))*AVERAGE(K23,K25),0),0)</f>
        <v>0</v>
      </c>
      <c r="L75" s="127">
        <f ca="1">IFERROR(IF(Assumptions!$N$44="OFF",($E$75+MAX(L72,$F$75))*AVERAGE(L23,L25),0),0)</f>
        <v>0</v>
      </c>
    </row>
    <row r="76" spans="2:12">
      <c r="B76" s="324" t="s">
        <v>40</v>
      </c>
      <c r="C76" s="56"/>
      <c r="D76" s="56"/>
      <c r="E76" s="140">
        <v>2.2499999999999999E-2</v>
      </c>
      <c r="F76" s="321">
        <v>0.01</v>
      </c>
      <c r="G76" s="56"/>
      <c r="H76" s="127">
        <f ca="1">IF(Assumptions!$N$44="OFF",($E$76+MAX(H72,$F$76))*AVERAGE(H30,H33),0)</f>
        <v>786.0340799999999</v>
      </c>
      <c r="I76" s="127">
        <f ca="1">IF(Assumptions!$N$44="OFF",($E$76+MAX(I72,$F$76))*AVERAGE(I30,I33),0)</f>
        <v>778.1737392</v>
      </c>
      <c r="J76" s="127">
        <f ca="1">IF(Assumptions!$N$44="OFF",($E$76+MAX(J72,$F$76))*AVERAGE(J30,J33),0)</f>
        <v>719.86248637867129</v>
      </c>
      <c r="K76" s="127">
        <f ca="1">IF(Assumptions!$N$44="OFF",($E$76+MAX(K72,$F$76))*AVERAGE(K30,K33),0)</f>
        <v>532.66557717470414</v>
      </c>
      <c r="L76" s="127">
        <f ca="1">IF(Assumptions!$N$44="OFF",($E$76+MAX(L72,$F$76))*AVERAGE(L30,L33),0)</f>
        <v>254.40650924295494</v>
      </c>
    </row>
    <row r="77" spans="2:12">
      <c r="B77" s="324" t="s">
        <v>41</v>
      </c>
      <c r="C77" s="56"/>
      <c r="D77" s="56"/>
      <c r="E77" s="140">
        <v>3.5000000000000003E-2</v>
      </c>
      <c r="F77" s="321">
        <v>0.01</v>
      </c>
      <c r="G77" s="56"/>
      <c r="H77" s="127">
        <f ca="1">IF(Assumptions!$N$44="OFF",($E$77+MAX(H72,$F$77))*AVERAGE(H38,H41),0)</f>
        <v>581.91777842851729</v>
      </c>
      <c r="I77" s="127">
        <f ca="1">IF(Assumptions!$N$44="OFF",($E$77+MAX(I72,$F$77))*AVERAGE(I38,I41),0)</f>
        <v>306.20019267597814</v>
      </c>
      <c r="J77" s="127">
        <f ca="1">IF(Assumptions!$N$44="OFF",($E$77+MAX(J72,$F$77))*AVERAGE(J38,J41),0)</f>
        <v>83.826414247460946</v>
      </c>
      <c r="K77" s="127">
        <f ca="1">IF(Assumptions!$N$44="OFF",($E$77+MAX(K72,$F$77))*AVERAGE(K38,K41),0)</f>
        <v>0</v>
      </c>
      <c r="L77" s="127">
        <f ca="1">IF(Assumptions!$N$44="OFF",($E$77+MAX(L72,$F$77))*AVERAGE(L38,L41),0)</f>
        <v>0</v>
      </c>
    </row>
    <row r="78" spans="2:12">
      <c r="B78" s="324" t="s">
        <v>341</v>
      </c>
      <c r="C78" s="56"/>
      <c r="D78" s="56"/>
      <c r="E78" s="140"/>
      <c r="F78" s="321"/>
      <c r="G78" s="321"/>
      <c r="H78" s="127">
        <f>H50</f>
        <v>219.44</v>
      </c>
      <c r="I78" s="127">
        <f>I50</f>
        <v>219.44</v>
      </c>
      <c r="J78" s="127">
        <f>J50</f>
        <v>219.44</v>
      </c>
      <c r="K78" s="127">
        <f>K50</f>
        <v>219.44</v>
      </c>
      <c r="L78" s="127">
        <f>L50</f>
        <v>219.44</v>
      </c>
    </row>
    <row r="79" spans="2:12">
      <c r="B79" s="324" t="s">
        <v>340</v>
      </c>
      <c r="C79" s="56"/>
      <c r="D79" s="56"/>
      <c r="E79" s="140"/>
      <c r="F79" s="321"/>
      <c r="G79" s="321"/>
      <c r="H79" s="127">
        <f>H57</f>
        <v>253.2</v>
      </c>
      <c r="I79" s="127">
        <f>I57</f>
        <v>253.2</v>
      </c>
      <c r="J79" s="127">
        <f>J57</f>
        <v>253.2</v>
      </c>
      <c r="K79" s="127">
        <f>K57</f>
        <v>253.2</v>
      </c>
      <c r="L79" s="127">
        <f>L57</f>
        <v>253.2</v>
      </c>
    </row>
    <row r="80" spans="2:12">
      <c r="B80" s="332"/>
      <c r="C80" s="56"/>
      <c r="D80" s="56"/>
      <c r="E80" s="140"/>
      <c r="F80" s="321"/>
      <c r="G80" s="321"/>
      <c r="H80" s="76"/>
      <c r="I80" s="76"/>
      <c r="J80" s="76"/>
      <c r="K80" s="76"/>
      <c r="L80" s="76"/>
    </row>
    <row r="81" spans="2:12">
      <c r="B81" s="121" t="s">
        <v>187</v>
      </c>
      <c r="C81" s="56"/>
      <c r="D81" s="56"/>
      <c r="E81" s="56"/>
      <c r="F81" s="56"/>
      <c r="G81" s="56"/>
      <c r="H81" s="319">
        <f ca="1">SUM(H75:H79)</f>
        <v>1840.5918584285173</v>
      </c>
      <c r="I81" s="319">
        <f t="shared" ref="I81:L81" ca="1" si="29">SUM(I75:I79)</f>
        <v>1557.0139318759782</v>
      </c>
      <c r="J81" s="319">
        <f t="shared" ca="1" si="29"/>
        <v>1276.3289006261323</v>
      </c>
      <c r="K81" s="319">
        <f t="shared" ca="1" si="29"/>
        <v>1005.3055771747042</v>
      </c>
      <c r="L81" s="319">
        <f t="shared" ca="1" si="29"/>
        <v>727.04650924295493</v>
      </c>
    </row>
    <row r="82" spans="2:12">
      <c r="B82" s="332"/>
      <c r="C82" s="56"/>
      <c r="D82" s="56"/>
      <c r="E82" s="321"/>
      <c r="F82" s="56"/>
      <c r="G82" s="321"/>
      <c r="H82" s="138"/>
      <c r="I82" s="138"/>
      <c r="J82" s="138"/>
      <c r="K82" s="138"/>
      <c r="L82" s="138"/>
    </row>
    <row r="83" spans="2:12" ht="14.4" thickBot="1">
      <c r="B83" s="315" t="s">
        <v>225</v>
      </c>
      <c r="C83" s="56"/>
      <c r="D83" s="56"/>
      <c r="E83" s="56"/>
      <c r="F83" s="56"/>
      <c r="G83" s="56"/>
      <c r="H83" s="279">
        <f ca="1">H81-H14</f>
        <v>1810.5918584285173</v>
      </c>
      <c r="I83" s="279">
        <f ca="1">I81-I14</f>
        <v>1527.0139318759782</v>
      </c>
      <c r="J83" s="279">
        <f ca="1">J81-J14</f>
        <v>1246.3289006261323</v>
      </c>
      <c r="K83" s="279">
        <f ca="1">K81-K14</f>
        <v>975.30557717470424</v>
      </c>
      <c r="L83" s="279">
        <f ca="1">L81-L14</f>
        <v>697.04650924295493</v>
      </c>
    </row>
    <row r="84" spans="2:12" ht="14.4" thickTop="1"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</row>
    <row r="85" spans="2:12"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</row>
    <row r="86" spans="2:12">
      <c r="B86" s="56"/>
      <c r="C86" s="11"/>
      <c r="D86" s="11"/>
      <c r="E86" s="11"/>
      <c r="F86" s="28"/>
      <c r="G86" s="56"/>
      <c r="H86" s="202" t="s">
        <v>94</v>
      </c>
      <c r="I86" s="75"/>
      <c r="J86" s="75"/>
      <c r="K86" s="75"/>
      <c r="L86" s="75"/>
    </row>
    <row r="87" spans="2:12">
      <c r="B87" s="56"/>
      <c r="C87" s="11"/>
      <c r="D87" s="11"/>
      <c r="E87" s="11"/>
      <c r="F87" s="28"/>
      <c r="G87" s="8"/>
      <c r="H87" s="256">
        <f>H70</f>
        <v>2026</v>
      </c>
      <c r="I87" s="256">
        <f>I70</f>
        <v>2027</v>
      </c>
      <c r="J87" s="256">
        <f>J70</f>
        <v>2028</v>
      </c>
      <c r="K87" s="256">
        <f>K70</f>
        <v>2029</v>
      </c>
      <c r="L87" s="256">
        <f>L70</f>
        <v>2030</v>
      </c>
    </row>
    <row r="88" spans="2:12">
      <c r="B88" s="121" t="s">
        <v>603</v>
      </c>
      <c r="C88" s="56"/>
      <c r="D88" s="56"/>
      <c r="E88" s="56"/>
      <c r="F88" s="56"/>
      <c r="G88" s="56"/>
      <c r="H88" s="56"/>
      <c r="I88" s="56"/>
      <c r="J88" s="56"/>
      <c r="K88" s="56"/>
      <c r="L88" s="56"/>
    </row>
    <row r="89" spans="2:12">
      <c r="B89" s="328" t="s">
        <v>390</v>
      </c>
      <c r="C89" s="56"/>
      <c r="D89" s="56"/>
      <c r="E89" s="56"/>
      <c r="F89" s="56"/>
      <c r="G89" s="56"/>
      <c r="H89" s="127">
        <f ca="1">H66</f>
        <v>26385.010096577949</v>
      </c>
      <c r="I89" s="127">
        <f t="shared" ref="I89:L89" ca="1" si="30">I66</f>
        <v>22348.57784359045</v>
      </c>
      <c r="J89" s="127">
        <f t="shared" ca="1" si="30"/>
        <v>18127.412894997313</v>
      </c>
      <c r="K89" s="127">
        <f t="shared" ca="1" si="30"/>
        <v>13587.376068240435</v>
      </c>
      <c r="L89" s="127">
        <f t="shared" ca="1" si="30"/>
        <v>8614.2823674161446</v>
      </c>
    </row>
    <row r="90" spans="2:12">
      <c r="B90" s="328" t="s">
        <v>359</v>
      </c>
      <c r="C90" s="56"/>
      <c r="D90" s="56"/>
      <c r="E90" s="56"/>
      <c r="F90" s="56"/>
      <c r="G90" s="56"/>
      <c r="H90" s="127">
        <f ca="1">H89-H12</f>
        <v>25385.010096577949</v>
      </c>
      <c r="I90" s="127">
        <f ca="1">I89-I12</f>
        <v>21348.57784359045</v>
      </c>
      <c r="J90" s="127">
        <f ca="1">J89-J12</f>
        <v>17127.412894997313</v>
      </c>
      <c r="K90" s="127">
        <f ca="1">K89-K12</f>
        <v>12587.376068240435</v>
      </c>
      <c r="L90" s="127">
        <f ca="1">L89-L12</f>
        <v>7614.2823674161446</v>
      </c>
    </row>
    <row r="91" spans="2:12">
      <c r="B91" s="328" t="s">
        <v>391</v>
      </c>
      <c r="C91" s="56"/>
      <c r="D91" s="56"/>
      <c r="E91" s="56"/>
      <c r="F91" s="56"/>
      <c r="G91" s="56"/>
      <c r="H91" s="342">
        <f ca="1">H89/'IS Pro Forma'!H28</f>
        <v>3.6918454431625825</v>
      </c>
      <c r="I91" s="342">
        <f ca="1">I89/'IS Pro Forma'!I28</f>
        <v>3.1457726717960739</v>
      </c>
      <c r="J91" s="342">
        <f ca="1">J89/'IS Pro Forma'!J28</f>
        <v>2.5019134012441628</v>
      </c>
      <c r="K91" s="342">
        <f ca="1">K89/'IS Pro Forma'!K28</f>
        <v>1.8007900171827851</v>
      </c>
      <c r="L91" s="342">
        <f ca="1">L89/'IS Pro Forma'!L28</f>
        <v>1.0898395055112833</v>
      </c>
    </row>
    <row r="92" spans="2:12">
      <c r="B92" s="328" t="s">
        <v>392</v>
      </c>
      <c r="C92" s="56"/>
      <c r="D92" s="56"/>
      <c r="E92" s="56"/>
      <c r="F92" s="56"/>
      <c r="G92" s="56"/>
      <c r="H92" s="342">
        <f ca="1">H90/'IS Pro Forma'!H28</f>
        <v>3.5519233650716817</v>
      </c>
      <c r="I92" s="342">
        <f ca="1">I90/'IS Pro Forma'!I28</f>
        <v>3.0050132599976056</v>
      </c>
      <c r="J92" s="342">
        <f ca="1">J90/'IS Pro Forma'!J28</f>
        <v>2.3638951735060707</v>
      </c>
      <c r="K92" s="342">
        <f ca="1">K90/'IS Pro Forma'!K28</f>
        <v>1.6682559643871162</v>
      </c>
      <c r="L92" s="342">
        <f ca="1">L90/'IS Pro Forma'!L28</f>
        <v>0.96332409087458148</v>
      </c>
    </row>
    <row r="93" spans="2:12">
      <c r="B93" s="328" t="s">
        <v>393</v>
      </c>
      <c r="C93" s="56"/>
      <c r="D93" s="56"/>
      <c r="E93" s="56"/>
      <c r="F93" s="56"/>
      <c r="G93" s="56"/>
      <c r="H93" s="342">
        <f ca="1">'IS Pro Forma'!H28/'LBO Debt Schedule'!H83</f>
        <v>3.9472368834483555</v>
      </c>
      <c r="I93" s="342">
        <f ca="1">'IS Pro Forma'!I28/'LBO Debt Schedule'!I83</f>
        <v>4.6524268905953017</v>
      </c>
      <c r="J93" s="342">
        <f ca="1">'IS Pro Forma'!J28/'LBO Debt Schedule'!J83</f>
        <v>5.8134091219862762</v>
      </c>
      <c r="K93" s="342">
        <f ca="1">'IS Pro Forma'!K28/'LBO Debt Schedule'!K83</f>
        <v>7.7362734785736293</v>
      </c>
      <c r="L93" s="342">
        <f ca="1">'IS Pro Forma'!L28/'LBO Debt Schedule'!L83</f>
        <v>11.339523364859414</v>
      </c>
    </row>
    <row r="94" spans="2:12"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</row>
    <row r="95" spans="2:12"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</row>
    <row r="96" spans="2:12"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</row>
    <row r="97" spans="2:12"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</row>
    <row r="98" spans="2:12"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</row>
    <row r="99" spans="2:12"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</row>
    <row r="100" spans="2:12"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</row>
    <row r="101" spans="2:12"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</row>
    <row r="102" spans="2:12"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</row>
  </sheetData>
  <dataValidations disablePrompts="1" count="1">
    <dataValidation allowBlank="1" showInputMessage="1" showErrorMessage="1" promptTitle="Input transaction fee assumption" prompt="Includes legal, accounting and advisory related fees.  Input as a % of the offer value." sqref="G1" xr:uid="{39E4BC94-1C6F-469D-A600-401A0DB80E38}"/>
  </dataValidations>
  <printOptions horizontalCentered="1"/>
  <pageMargins left="0.7" right="0.7" top="0.75" bottom="0.75" header="0.3" footer="0.3"/>
  <pageSetup scale="86" fitToHeight="0" orientation="landscape" r:id="rId1"/>
  <headerFooter differentOddEven="1">
    <oddFooter>&amp;L&amp;"Arial"&amp;8Tyler Spencer&amp;C&amp;"Arial"&amp;8&amp;INot associated with PayPal. For educational purposes only.&amp;R&amp;"Arial"&amp;8Page &amp;P</oddFooter>
    <evenFooter>&amp;L&amp;"Arial"&amp;8Tyler Spencer&amp;C&amp;"Arial"&amp;8&amp;INot associated with PayPal. For educational purposes only.&amp;R&amp;"Arial"&amp;8Page &amp;P</evenFooter>
  </headerFooter>
  <rowBreaks count="2" manualBreakCount="2">
    <brk id="35" max="16383" man="1"/>
    <brk id="67" max="16383" man="1"/>
  </rowBreaks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20E4E-E909-42F7-91C4-13E225662BDB}">
  <sheetPr>
    <pageSetUpPr fitToPage="1"/>
  </sheetPr>
  <dimension ref="B1:M87"/>
  <sheetViews>
    <sheetView workbookViewId="0">
      <selection activeCell="I9" sqref="I9"/>
    </sheetView>
  </sheetViews>
  <sheetFormatPr defaultColWidth="8.88671875" defaultRowHeight="13.8"/>
  <cols>
    <col min="1" max="1" width="2.6640625" style="55" customWidth="1"/>
    <col min="2" max="2" width="3.6640625" style="55" customWidth="1"/>
    <col min="3" max="3" width="29.88671875" style="55" customWidth="1"/>
    <col min="4" max="12" width="12.33203125" style="55" customWidth="1"/>
    <col min="13" max="16384" width="8.88671875" style="55"/>
  </cols>
  <sheetData>
    <row r="1" spans="2:13" s="56" customFormat="1" ht="13.2">
      <c r="C1" s="11"/>
      <c r="D1" s="28"/>
      <c r="E1" s="8"/>
      <c r="F1" s="8"/>
      <c r="G1" s="8"/>
      <c r="H1" s="8"/>
      <c r="I1" s="218"/>
      <c r="K1" s="728" t="str">
        <f>"CURRENTLY RUNNING: "&amp;UPPER(CHOOSE(Scenarios!$C$6,Scenarios!B10,Scenarios!B11,Scenarios!B12))&amp;" SCENARIO"</f>
        <v>CURRENTLY RUNNING: BASE CASE SCENARIO</v>
      </c>
      <c r="L1" s="314"/>
      <c r="M1" s="314"/>
    </row>
    <row r="2" spans="2:13" ht="22.8">
      <c r="B2" s="201" t="str">
        <f>Cover!$B$7</f>
        <v>PayPal</v>
      </c>
      <c r="C2" s="57"/>
      <c r="D2" s="58"/>
      <c r="E2" s="58"/>
      <c r="F2" s="58"/>
      <c r="G2" s="58"/>
      <c r="H2" s="58"/>
      <c r="I2" s="58"/>
      <c r="J2" s="58"/>
      <c r="K2" s="58"/>
    </row>
    <row r="3" spans="2:13" ht="18" thickBot="1">
      <c r="B3" s="219" t="s">
        <v>354</v>
      </c>
      <c r="C3" s="3"/>
      <c r="D3" s="5"/>
      <c r="E3" s="4"/>
      <c r="F3" s="4"/>
      <c r="G3" s="4"/>
      <c r="H3" s="4"/>
      <c r="I3" s="4"/>
      <c r="J3" s="4"/>
      <c r="K3" s="4"/>
    </row>
    <row r="4" spans="2:13" s="56" customFormat="1" ht="13.2">
      <c r="B4" s="220" t="s">
        <v>93</v>
      </c>
      <c r="C4" s="34"/>
      <c r="D4" s="20"/>
    </row>
    <row r="5" spans="2:13" s="56" customFormat="1" ht="13.2">
      <c r="B5" s="343"/>
      <c r="D5" s="132"/>
      <c r="E5" s="202" t="s">
        <v>355</v>
      </c>
      <c r="F5" s="344"/>
      <c r="G5" s="344"/>
      <c r="H5" s="75"/>
      <c r="I5" s="75"/>
      <c r="J5" s="75"/>
      <c r="K5" s="75"/>
    </row>
    <row r="6" spans="2:13" s="56" customFormat="1" ht="13.2">
      <c r="B6" s="133"/>
      <c r="C6" s="131"/>
      <c r="D6" s="132"/>
      <c r="G6" s="26"/>
      <c r="H6" s="26"/>
      <c r="I6" s="26"/>
      <c r="J6" s="26"/>
      <c r="K6" s="26"/>
    </row>
    <row r="7" spans="2:13" s="56" customFormat="1" ht="13.2">
      <c r="B7" s="121" t="s">
        <v>356</v>
      </c>
      <c r="D7" s="634">
        <v>0.5</v>
      </c>
      <c r="E7" s="346">
        <f>F7-0.5</f>
        <v>6</v>
      </c>
      <c r="F7" s="346">
        <f>G7-0.5</f>
        <v>6.5</v>
      </c>
      <c r="G7" s="347">
        <f>LBO!E14</f>
        <v>7</v>
      </c>
      <c r="H7" s="346">
        <f>G7+$D$7</f>
        <v>7.5</v>
      </c>
      <c r="I7" s="346">
        <f>H7+$D$7</f>
        <v>8</v>
      </c>
      <c r="J7" s="346">
        <f>I7+$D$7</f>
        <v>8.5</v>
      </c>
      <c r="K7" s="346">
        <f>J7+$D$7</f>
        <v>9</v>
      </c>
    </row>
    <row r="8" spans="2:13" s="56" customFormat="1" ht="13.2">
      <c r="B8" s="121" t="s">
        <v>357</v>
      </c>
      <c r="E8" s="348">
        <f>'IS Pro Forma'!$L$28</f>
        <v>7904.175177954181</v>
      </c>
      <c r="F8" s="348">
        <f>'IS Pro Forma'!$L$28</f>
        <v>7904.175177954181</v>
      </c>
      <c r="G8" s="348">
        <f>'IS Pro Forma'!$L$28</f>
        <v>7904.175177954181</v>
      </c>
      <c r="H8" s="348">
        <f>'IS Pro Forma'!$L$28</f>
        <v>7904.175177954181</v>
      </c>
      <c r="I8" s="348">
        <f>'IS Pro Forma'!$L$28</f>
        <v>7904.175177954181</v>
      </c>
      <c r="J8" s="348">
        <f>'IS Pro Forma'!$L$28</f>
        <v>7904.175177954181</v>
      </c>
      <c r="K8" s="348">
        <f>'IS Pro Forma'!$L$28</f>
        <v>7904.175177954181</v>
      </c>
    </row>
    <row r="9" spans="2:13" s="56" customFormat="1" ht="13.2">
      <c r="B9" s="121" t="s">
        <v>358</v>
      </c>
      <c r="E9" s="334">
        <f t="shared" ref="E9" si="0">E7*E8</f>
        <v>47425.051067725086</v>
      </c>
      <c r="F9" s="334">
        <f t="shared" ref="F9:K9" si="1">F7*F8</f>
        <v>51377.138656702176</v>
      </c>
      <c r="G9" s="334">
        <f t="shared" si="1"/>
        <v>55329.226245679267</v>
      </c>
      <c r="H9" s="334">
        <f t="shared" si="1"/>
        <v>59281.313834656357</v>
      </c>
      <c r="I9" s="334">
        <f t="shared" si="1"/>
        <v>63233.401423633448</v>
      </c>
      <c r="J9" s="334">
        <f t="shared" si="1"/>
        <v>67185.489012610546</v>
      </c>
      <c r="K9" s="334">
        <f t="shared" si="1"/>
        <v>71137.576601587629</v>
      </c>
    </row>
    <row r="10" spans="2:13" s="56" customFormat="1" ht="13.2">
      <c r="E10" s="349"/>
      <c r="F10" s="349"/>
      <c r="G10" s="349"/>
      <c r="H10" s="349"/>
      <c r="I10" s="349"/>
      <c r="J10" s="349"/>
      <c r="K10" s="349"/>
    </row>
    <row r="11" spans="2:13" s="56" customFormat="1" ht="13.2">
      <c r="B11" s="121" t="s">
        <v>359</v>
      </c>
      <c r="E11" s="349"/>
      <c r="F11" s="349"/>
      <c r="G11" s="349"/>
      <c r="H11" s="349"/>
      <c r="I11" s="349"/>
      <c r="J11" s="349"/>
      <c r="K11" s="349"/>
    </row>
    <row r="12" spans="2:13" s="56" customFormat="1" ht="13.2">
      <c r="B12" s="324" t="s">
        <v>9</v>
      </c>
      <c r="E12" s="348">
        <f ca="1">'LBO Debt Schedule'!$L$25</f>
        <v>0</v>
      </c>
      <c r="F12" s="348">
        <f ca="1">'LBO Debt Schedule'!$L$25</f>
        <v>0</v>
      </c>
      <c r="G12" s="348">
        <f ca="1">'LBO Debt Schedule'!$L$25</f>
        <v>0</v>
      </c>
      <c r="H12" s="348">
        <f ca="1">'LBO Debt Schedule'!$L$25</f>
        <v>0</v>
      </c>
      <c r="I12" s="348">
        <f ca="1">'LBO Debt Schedule'!$L$25</f>
        <v>0</v>
      </c>
      <c r="J12" s="348">
        <f ca="1">'LBO Debt Schedule'!$L$25</f>
        <v>0</v>
      </c>
      <c r="K12" s="348">
        <f ca="1">'LBO Debt Schedule'!$L$25</f>
        <v>0</v>
      </c>
    </row>
    <row r="13" spans="2:13" s="56" customFormat="1" ht="13.2">
      <c r="B13" s="324" t="s">
        <v>40</v>
      </c>
      <c r="E13" s="348">
        <f ca="1">'LBO Debt Schedule'!$L$33</f>
        <v>1862.2823674161446</v>
      </c>
      <c r="F13" s="348">
        <f ca="1">'LBO Debt Schedule'!$L$33</f>
        <v>1862.2823674161446</v>
      </c>
      <c r="G13" s="348">
        <f ca="1">'LBO Debt Schedule'!$L$33</f>
        <v>1862.2823674161446</v>
      </c>
      <c r="H13" s="348">
        <f ca="1">'LBO Debt Schedule'!$L$33</f>
        <v>1862.2823674161446</v>
      </c>
      <c r="I13" s="348">
        <f ca="1">'LBO Debt Schedule'!$L$33</f>
        <v>1862.2823674161446</v>
      </c>
      <c r="J13" s="348">
        <f ca="1">'LBO Debt Schedule'!$L$33</f>
        <v>1862.2823674161446</v>
      </c>
      <c r="K13" s="348">
        <f ca="1">'LBO Debt Schedule'!$L$33</f>
        <v>1862.2823674161446</v>
      </c>
    </row>
    <row r="14" spans="2:13" s="56" customFormat="1" ht="13.2">
      <c r="B14" s="324" t="s">
        <v>41</v>
      </c>
      <c r="E14" s="348">
        <f ca="1">'LBO Debt Schedule'!$L$41</f>
        <v>0</v>
      </c>
      <c r="F14" s="348">
        <f ca="1">'LBO Debt Schedule'!$L$41</f>
        <v>0</v>
      </c>
      <c r="G14" s="348">
        <f ca="1">'LBO Debt Schedule'!$L$41</f>
        <v>0</v>
      </c>
      <c r="H14" s="348">
        <f ca="1">'LBO Debt Schedule'!$L$41</f>
        <v>0</v>
      </c>
      <c r="I14" s="348">
        <f ca="1">'LBO Debt Schedule'!$L$41</f>
        <v>0</v>
      </c>
      <c r="J14" s="348">
        <f ca="1">'LBO Debt Schedule'!$L$41</f>
        <v>0</v>
      </c>
      <c r="K14" s="348">
        <f ca="1">'LBO Debt Schedule'!$L$41</f>
        <v>0</v>
      </c>
    </row>
    <row r="15" spans="2:13" s="56" customFormat="1" ht="13.2">
      <c r="B15" s="324" t="s">
        <v>341</v>
      </c>
      <c r="E15" s="348">
        <f>'LBO Debt Schedule'!$L$48</f>
        <v>3376</v>
      </c>
      <c r="F15" s="348">
        <f>'LBO Debt Schedule'!$L$48</f>
        <v>3376</v>
      </c>
      <c r="G15" s="348">
        <f>'LBO Debt Schedule'!$L$48</f>
        <v>3376</v>
      </c>
      <c r="H15" s="348">
        <f>'LBO Debt Schedule'!$L$48</f>
        <v>3376</v>
      </c>
      <c r="I15" s="348">
        <f>'LBO Debt Schedule'!$L$48</f>
        <v>3376</v>
      </c>
      <c r="J15" s="348">
        <f>'LBO Debt Schedule'!$L$48</f>
        <v>3376</v>
      </c>
      <c r="K15" s="348">
        <f>'LBO Debt Schedule'!$L$48</f>
        <v>3376</v>
      </c>
    </row>
    <row r="16" spans="2:13" s="56" customFormat="1" ht="13.2">
      <c r="B16" s="324" t="s">
        <v>340</v>
      </c>
      <c r="E16" s="582">
        <f>'LBO Debt Schedule'!$L$55</f>
        <v>3376</v>
      </c>
      <c r="F16" s="582">
        <f>'LBO Debt Schedule'!$L$55</f>
        <v>3376</v>
      </c>
      <c r="G16" s="582">
        <f>'LBO Debt Schedule'!$L$55</f>
        <v>3376</v>
      </c>
      <c r="H16" s="582">
        <f>'LBO Debt Schedule'!$L$55</f>
        <v>3376</v>
      </c>
      <c r="I16" s="582">
        <f>'LBO Debt Schedule'!$L$55</f>
        <v>3376</v>
      </c>
      <c r="J16" s="582">
        <f>'LBO Debt Schedule'!$L$55</f>
        <v>3376</v>
      </c>
      <c r="K16" s="582">
        <f>'LBO Debt Schedule'!$L$55</f>
        <v>3376</v>
      </c>
    </row>
    <row r="17" spans="2:11" s="56" customFormat="1" ht="13.2">
      <c r="B17" s="324" t="s">
        <v>18</v>
      </c>
      <c r="E17" s="770">
        <f ca="1">-('LBO Debt Schedule'!$L$12)</f>
        <v>-1000</v>
      </c>
      <c r="F17" s="770">
        <f ca="1">-('LBO Debt Schedule'!$L$12)</f>
        <v>-1000</v>
      </c>
      <c r="G17" s="770">
        <f ca="1">-('LBO Debt Schedule'!$L$12)</f>
        <v>-1000</v>
      </c>
      <c r="H17" s="770">
        <f ca="1">-('LBO Debt Schedule'!$L$12)</f>
        <v>-1000</v>
      </c>
      <c r="I17" s="770">
        <f ca="1">-('LBO Debt Schedule'!$L$12)</f>
        <v>-1000</v>
      </c>
      <c r="J17" s="770">
        <f ca="1">-('LBO Debt Schedule'!$L$12)</f>
        <v>-1000</v>
      </c>
      <c r="K17" s="770">
        <f ca="1">-('LBO Debt Schedule'!$L$12)</f>
        <v>-1000</v>
      </c>
    </row>
    <row r="18" spans="2:11" s="56" customFormat="1" ht="13.2">
      <c r="B18" s="332"/>
      <c r="E18" s="349"/>
      <c r="F18" s="349"/>
      <c r="G18" s="349"/>
      <c r="H18" s="349"/>
      <c r="I18" s="349"/>
      <c r="J18" s="349"/>
      <c r="K18" s="349"/>
    </row>
    <row r="19" spans="2:11" s="56" customFormat="1" ht="13.2">
      <c r="B19" s="121" t="s">
        <v>360</v>
      </c>
      <c r="E19" s="334">
        <f t="shared" ref="E19:F19" ca="1" si="2">E9-SUM(E12:E17)</f>
        <v>39810.768700308938</v>
      </c>
      <c r="F19" s="334">
        <f t="shared" ca="1" si="2"/>
        <v>43762.856289286035</v>
      </c>
      <c r="G19" s="334">
        <f ca="1">G9-SUM(G12:G17)</f>
        <v>47714.943878263119</v>
      </c>
      <c r="H19" s="334">
        <f ca="1">H9-SUM(H12:H17)</f>
        <v>51667.031467240216</v>
      </c>
      <c r="I19" s="334">
        <f ca="1">I9-SUM(I12:I17)</f>
        <v>55619.1190562173</v>
      </c>
      <c r="J19" s="334">
        <f ca="1">J9-SUM(J12:J17)</f>
        <v>59571.206645194397</v>
      </c>
      <c r="K19" s="334">
        <f ca="1">K9-SUM(K12:K17)</f>
        <v>63523.294234171481</v>
      </c>
    </row>
    <row r="20" spans="2:11" s="56" customFormat="1" ht="13.2">
      <c r="B20" s="350"/>
      <c r="C20" s="95"/>
      <c r="D20" s="95"/>
      <c r="E20" s="95"/>
      <c r="F20" s="95"/>
      <c r="G20" s="95"/>
      <c r="H20" s="95"/>
      <c r="I20" s="95"/>
      <c r="J20" s="95"/>
      <c r="K20" s="95"/>
    </row>
    <row r="21" spans="2:11" s="56" customFormat="1" ht="13.2"/>
    <row r="42" spans="2:7" s="56" customFormat="1" ht="13.2"/>
    <row r="43" spans="2:7" s="56" customFormat="1" ht="13.2"/>
    <row r="44" spans="2:7" s="56" customFormat="1" ht="13.2"/>
    <row r="45" spans="2:7" s="56" customFormat="1" ht="13.2">
      <c r="B45" s="343"/>
      <c r="C45" s="343"/>
      <c r="D45" s="107"/>
      <c r="E45" s="107"/>
      <c r="F45" s="107"/>
    </row>
    <row r="46" spans="2:7" s="56" customFormat="1" ht="13.2">
      <c r="B46" s="351"/>
      <c r="C46" s="351"/>
      <c r="D46" s="141"/>
      <c r="E46" s="141"/>
      <c r="F46" s="141"/>
      <c r="G46" s="141"/>
    </row>
    <row r="47" spans="2:7" s="56" customFormat="1" ht="13.2">
      <c r="B47" s="352"/>
      <c r="C47" s="353"/>
      <c r="D47" s="76"/>
      <c r="E47" s="76"/>
      <c r="F47" s="76"/>
      <c r="G47" s="126"/>
    </row>
    <row r="48" spans="2:7" s="56" customFormat="1" ht="13.2">
      <c r="B48" s="352"/>
      <c r="C48" s="353"/>
      <c r="D48" s="76"/>
      <c r="E48" s="76"/>
      <c r="F48" s="76"/>
      <c r="G48" s="126"/>
    </row>
    <row r="49" spans="2:7" s="56" customFormat="1" ht="13.2">
      <c r="B49" s="352"/>
      <c r="C49" s="353"/>
      <c r="D49" s="76"/>
      <c r="E49" s="76"/>
      <c r="F49" s="76"/>
      <c r="G49" s="126"/>
    </row>
    <row r="50" spans="2:7" s="56" customFormat="1" ht="13.2">
      <c r="B50" s="352"/>
      <c r="C50" s="353"/>
      <c r="D50" s="76"/>
      <c r="E50" s="76"/>
      <c r="F50" s="76"/>
      <c r="G50" s="126"/>
    </row>
    <row r="51" spans="2:7" s="56" customFormat="1" ht="13.2">
      <c r="B51" s="354"/>
      <c r="C51" s="353"/>
      <c r="D51" s="76"/>
      <c r="E51" s="76"/>
      <c r="F51" s="76"/>
      <c r="G51" s="126"/>
    </row>
    <row r="52" spans="2:7">
      <c r="B52" s="355"/>
      <c r="C52" s="356"/>
      <c r="D52" s="61"/>
      <c r="E52" s="61"/>
      <c r="F52" s="61"/>
      <c r="G52" s="65"/>
    </row>
    <row r="53" spans="2:7">
      <c r="B53" s="355"/>
      <c r="C53" s="356"/>
      <c r="D53" s="61"/>
      <c r="E53" s="61"/>
      <c r="F53" s="61"/>
      <c r="G53" s="65"/>
    </row>
    <row r="54" spans="2:7">
      <c r="B54" s="355"/>
      <c r="C54" s="356"/>
      <c r="D54" s="61"/>
      <c r="E54" s="61"/>
      <c r="F54" s="61"/>
      <c r="G54" s="65"/>
    </row>
    <row r="55" spans="2:7">
      <c r="B55" s="355"/>
      <c r="C55" s="356"/>
      <c r="D55" s="61"/>
      <c r="E55" s="61"/>
      <c r="F55" s="61"/>
      <c r="G55" s="65"/>
    </row>
    <row r="56" spans="2:7">
      <c r="B56" s="355"/>
      <c r="C56" s="356"/>
      <c r="D56" s="61"/>
      <c r="E56" s="61"/>
      <c r="F56" s="61"/>
      <c r="G56" s="65"/>
    </row>
    <row r="57" spans="2:7">
      <c r="B57" s="357"/>
      <c r="C57" s="356"/>
      <c r="D57" s="61"/>
      <c r="E57" s="61"/>
      <c r="F57" s="61"/>
      <c r="G57" s="65"/>
    </row>
    <row r="58" spans="2:7">
      <c r="B58" s="355"/>
      <c r="C58" s="356"/>
      <c r="D58" s="66"/>
      <c r="E58" s="66"/>
      <c r="F58" s="66"/>
      <c r="G58" s="65"/>
    </row>
    <row r="59" spans="2:7">
      <c r="B59" s="355"/>
      <c r="C59" s="356"/>
      <c r="D59" s="61"/>
      <c r="E59" s="61"/>
      <c r="F59" s="61"/>
      <c r="G59" s="65"/>
    </row>
    <row r="60" spans="2:7">
      <c r="B60" s="355"/>
      <c r="C60" s="356"/>
      <c r="D60" s="61"/>
      <c r="E60" s="61"/>
      <c r="F60" s="61"/>
      <c r="G60" s="65"/>
    </row>
    <row r="61" spans="2:7">
      <c r="B61" s="355"/>
      <c r="C61" s="356"/>
      <c r="D61" s="61"/>
      <c r="E61" s="61"/>
      <c r="F61" s="61"/>
      <c r="G61" s="65"/>
    </row>
    <row r="62" spans="2:7">
      <c r="B62" s="355"/>
      <c r="C62" s="356"/>
      <c r="D62" s="61"/>
      <c r="E62" s="61"/>
      <c r="F62" s="61"/>
      <c r="G62" s="65"/>
    </row>
    <row r="63" spans="2:7">
      <c r="B63" s="355"/>
      <c r="C63" s="356"/>
      <c r="D63" s="61"/>
      <c r="E63" s="61"/>
      <c r="F63" s="61"/>
      <c r="G63" s="65"/>
    </row>
    <row r="64" spans="2:7">
      <c r="B64" s="355"/>
      <c r="C64" s="356"/>
      <c r="D64" s="67"/>
      <c r="E64" s="67"/>
      <c r="F64" s="67"/>
      <c r="G64" s="65"/>
    </row>
    <row r="65" spans="2:7">
      <c r="B65" s="355"/>
      <c r="C65" s="356"/>
      <c r="D65" s="61"/>
      <c r="E65" s="61"/>
      <c r="F65" s="61"/>
      <c r="G65" s="65"/>
    </row>
    <row r="66" spans="2:7">
      <c r="B66" s="355"/>
      <c r="C66" s="356"/>
      <c r="D66" s="61"/>
      <c r="E66" s="61"/>
      <c r="F66" s="61"/>
      <c r="G66" s="65"/>
    </row>
    <row r="67" spans="2:7">
      <c r="B67" s="355"/>
      <c r="C67" s="356"/>
      <c r="D67" s="61"/>
      <c r="E67" s="61"/>
      <c r="F67" s="61"/>
      <c r="G67" s="65"/>
    </row>
    <row r="68" spans="2:7">
      <c r="B68" s="355"/>
      <c r="C68" s="356"/>
      <c r="D68" s="61"/>
      <c r="E68" s="61"/>
      <c r="F68" s="61"/>
      <c r="G68" s="65"/>
    </row>
    <row r="69" spans="2:7">
      <c r="B69" s="358"/>
      <c r="C69" s="359"/>
      <c r="D69" s="360"/>
      <c r="E69" s="360"/>
      <c r="F69" s="360"/>
      <c r="G69" s="361"/>
    </row>
    <row r="70" spans="2:7">
      <c r="B70" s="355"/>
      <c r="C70" s="356"/>
      <c r="D70" s="67"/>
      <c r="E70" s="67"/>
      <c r="F70" s="67"/>
      <c r="G70" s="65"/>
    </row>
    <row r="71" spans="2:7">
      <c r="B71" s="355"/>
      <c r="C71" s="356"/>
      <c r="D71" s="61"/>
      <c r="E71" s="61"/>
      <c r="F71" s="61"/>
      <c r="G71" s="65"/>
    </row>
    <row r="72" spans="2:7">
      <c r="B72" s="355"/>
      <c r="C72" s="356"/>
      <c r="D72" s="61"/>
      <c r="E72" s="61"/>
      <c r="F72" s="61"/>
      <c r="G72" s="65"/>
    </row>
    <row r="73" spans="2:7">
      <c r="B73" s="355"/>
      <c r="C73" s="356"/>
      <c r="D73" s="61"/>
      <c r="E73" s="61"/>
      <c r="F73" s="61"/>
      <c r="G73" s="65"/>
    </row>
    <row r="74" spans="2:7">
      <c r="B74" s="355"/>
      <c r="C74" s="356"/>
      <c r="D74" s="61"/>
      <c r="E74" s="61"/>
      <c r="F74" s="61"/>
      <c r="G74" s="65"/>
    </row>
    <row r="77" spans="2:7">
      <c r="D77" s="358"/>
      <c r="E77" s="358"/>
      <c r="F77" s="358"/>
      <c r="G77" s="358"/>
    </row>
    <row r="78" spans="2:7">
      <c r="D78" s="356"/>
      <c r="E78" s="355"/>
      <c r="F78" s="355"/>
      <c r="G78" s="356"/>
    </row>
    <row r="79" spans="2:7">
      <c r="D79" s="356"/>
      <c r="E79" s="355"/>
      <c r="F79" s="355"/>
      <c r="G79" s="356"/>
    </row>
    <row r="80" spans="2:7">
      <c r="D80" s="356"/>
      <c r="E80" s="355"/>
      <c r="F80" s="355"/>
      <c r="G80" s="356"/>
    </row>
    <row r="81" spans="4:7">
      <c r="D81" s="356"/>
      <c r="E81" s="355"/>
      <c r="F81" s="355"/>
      <c r="G81" s="356"/>
    </row>
    <row r="82" spans="4:7">
      <c r="D82" s="356"/>
      <c r="E82" s="355"/>
      <c r="F82" s="355"/>
      <c r="G82" s="356"/>
    </row>
    <row r="83" spans="4:7">
      <c r="D83" s="356"/>
      <c r="E83" s="355"/>
      <c r="F83" s="355"/>
      <c r="G83" s="356"/>
    </row>
    <row r="84" spans="4:7">
      <c r="D84" s="356"/>
      <c r="E84" s="355"/>
      <c r="F84" s="355"/>
      <c r="G84" s="356"/>
    </row>
    <row r="85" spans="4:7">
      <c r="D85" s="356"/>
      <c r="E85" s="355"/>
      <c r="F85" s="355"/>
      <c r="G85" s="356"/>
    </row>
    <row r="86" spans="4:7">
      <c r="D86" s="359"/>
    </row>
    <row r="87" spans="4:7">
      <c r="D87" s="359"/>
    </row>
  </sheetData>
  <printOptions horizontalCentered="1"/>
  <pageMargins left="0.7" right="0.7" top="0.75" bottom="0.75" header="0.3" footer="0.3"/>
  <pageSetup scale="90" fitToHeight="0" orientation="landscape" r:id="rId1"/>
  <headerFooter differentOddEven="1">
    <oddFooter>&amp;L&amp;"Arial"&amp;8Tyler Spencer&amp;C&amp;"Arial"&amp;8&amp;INot associated with PayPal. For educational purposes only.&amp;R&amp;"Arial"&amp;8Page &amp;P</oddFooter>
    <evenFooter>&amp;L&amp;"Arial"&amp;8Tyler Spencer&amp;C&amp;"Arial"&amp;8&amp;INot associated with PayPal. For educational purposes only.&amp;R&amp;"Arial"&amp;8Page &amp;P</even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7CDA9-1E48-4BFE-B340-2FB3BEC27DE3}">
  <sheetPr>
    <pageSetUpPr fitToPage="1"/>
  </sheetPr>
  <dimension ref="A1:M61"/>
  <sheetViews>
    <sheetView zoomScaleNormal="100" workbookViewId="0">
      <selection activeCell="I9" sqref="I9"/>
    </sheetView>
  </sheetViews>
  <sheetFormatPr defaultColWidth="9.109375" defaultRowHeight="13.8"/>
  <cols>
    <col min="1" max="1" width="2.6640625" style="55" customWidth="1"/>
    <col min="2" max="2" width="6.88671875" style="56" customWidth="1"/>
    <col min="3" max="3" width="29.88671875" style="56" customWidth="1"/>
    <col min="4" max="13" width="12.33203125" style="56" customWidth="1"/>
    <col min="14" max="16384" width="9.109375" style="56"/>
  </cols>
  <sheetData>
    <row r="1" spans="1:13" ht="13.2">
      <c r="A1" s="56"/>
      <c r="C1" s="11"/>
      <c r="D1" s="28"/>
      <c r="E1" s="303"/>
      <c r="F1" s="8"/>
      <c r="G1" s="8"/>
      <c r="H1" s="8"/>
      <c r="I1" s="218"/>
      <c r="K1" s="728" t="str">
        <f>"CURRENTLY RUNNING: "&amp;UPPER(CHOOSE(Scenarios!$C$6,Scenarios!B10,Scenarios!B11,Scenarios!B12))&amp;" SCENARIO"</f>
        <v>CURRENTLY RUNNING: BASE CASE SCENARIO</v>
      </c>
      <c r="L1" s="314"/>
      <c r="M1" s="314"/>
    </row>
    <row r="2" spans="1:13" s="55" customFormat="1" ht="22.8">
      <c r="B2" s="201" t="str">
        <f>Cover!$B$7</f>
        <v>PayPal</v>
      </c>
      <c r="C2" s="57"/>
      <c r="D2" s="58"/>
      <c r="E2" s="58"/>
      <c r="F2" s="58"/>
      <c r="G2" s="58"/>
      <c r="H2" s="58"/>
      <c r="I2" s="58"/>
      <c r="J2" s="58"/>
      <c r="K2" s="58"/>
    </row>
    <row r="3" spans="1:13" s="55" customFormat="1" ht="18" thickBot="1">
      <c r="B3" s="219" t="s">
        <v>361</v>
      </c>
      <c r="C3" s="3"/>
      <c r="D3" s="5"/>
      <c r="E3" s="4"/>
      <c r="F3" s="4"/>
      <c r="G3" s="4"/>
      <c r="H3" s="4"/>
      <c r="I3" s="4"/>
      <c r="J3" s="4"/>
      <c r="K3" s="4"/>
    </row>
    <row r="4" spans="1:13" ht="13.2">
      <c r="A4" s="56"/>
      <c r="B4" s="220" t="s">
        <v>93</v>
      </c>
      <c r="C4" s="34"/>
      <c r="D4" s="20"/>
      <c r="E4" s="34"/>
    </row>
    <row r="5" spans="1:13" ht="13.2">
      <c r="A5" s="56"/>
      <c r="C5" s="11"/>
      <c r="D5" s="28"/>
      <c r="G5" s="202" t="s">
        <v>94</v>
      </c>
      <c r="H5" s="75"/>
      <c r="I5" s="75"/>
      <c r="J5" s="75"/>
      <c r="K5" s="75"/>
    </row>
    <row r="6" spans="1:13" ht="13.2">
      <c r="A6" s="56"/>
      <c r="C6" s="11"/>
      <c r="D6" s="28"/>
      <c r="E6" s="8"/>
      <c r="F6" s="8"/>
      <c r="G6" s="256">
        <f>'LBO Debt Schedule'!H70</f>
        <v>2026</v>
      </c>
      <c r="H6" s="256">
        <f>'LBO Debt Schedule'!I70</f>
        <v>2027</v>
      </c>
      <c r="I6" s="256">
        <f>'LBO Debt Schedule'!J70</f>
        <v>2028</v>
      </c>
      <c r="J6" s="256">
        <f>'LBO Debt Schedule'!K70</f>
        <v>2029</v>
      </c>
      <c r="K6" s="256">
        <f>'LBO Debt Schedule'!L70</f>
        <v>2030</v>
      </c>
    </row>
    <row r="7" spans="1:13" ht="13.2">
      <c r="A7" s="56"/>
      <c r="B7" s="332"/>
      <c r="D7" s="458" t="s">
        <v>550</v>
      </c>
      <c r="E7" s="458" t="s">
        <v>54</v>
      </c>
      <c r="F7" s="458" t="s">
        <v>60</v>
      </c>
    </row>
    <row r="8" spans="1:13" ht="13.2">
      <c r="A8" s="56"/>
      <c r="B8" s="125" t="s">
        <v>9</v>
      </c>
      <c r="D8" s="679">
        <f ca="1">IFERROR((SUM(G8:K8)/-F8),0)</f>
        <v>0</v>
      </c>
      <c r="E8" s="458">
        <f ca="1">IFERROR(IRR(F8:K8),0)</f>
        <v>0</v>
      </c>
      <c r="F8" s="678">
        <f>-(LBO!D43)</f>
        <v>0</v>
      </c>
      <c r="G8" s="334">
        <f ca="1">'LBO Debt Schedule'!H75+'LBO Debt Schedule'!H24</f>
        <v>0</v>
      </c>
      <c r="H8" s="334">
        <f ca="1">'LBO Debt Schedule'!I75+'LBO Debt Schedule'!I24</f>
        <v>0</v>
      </c>
      <c r="I8" s="334">
        <f ca="1">'LBO Debt Schedule'!J75+'LBO Debt Schedule'!J24</f>
        <v>0</v>
      </c>
      <c r="J8" s="334">
        <f ca="1">'LBO Debt Schedule'!K75+'LBO Debt Schedule'!K24</f>
        <v>0</v>
      </c>
      <c r="K8" s="334">
        <f ca="1">'LBO Debt Schedule'!L75+'LBO Debt Schedule'!L25</f>
        <v>0</v>
      </c>
    </row>
    <row r="9" spans="1:13" ht="13.2">
      <c r="A9" s="56"/>
      <c r="B9" s="125" t="s">
        <v>40</v>
      </c>
      <c r="D9" s="679">
        <f ca="1">IFERROR((SUM(G9:K9)/-F9),"NM")</f>
        <v>1.2274246439570742</v>
      </c>
      <c r="E9" s="641">
        <f ca="1">IFERROR(IRR(F9:K9),0)</f>
        <v>5.3096888192662117E-2</v>
      </c>
      <c r="F9" s="678">
        <f>-(LBO!D44)</f>
        <v>-13504</v>
      </c>
      <c r="G9" s="334">
        <f ca="1">'LBO Debt Schedule'!H76+'LBO Debt Schedule'!H32+'LBO Debt Schedule'!H31</f>
        <v>921.07407999999987</v>
      </c>
      <c r="H9" s="334">
        <f ca="1">'LBO Debt Schedule'!I76+'LBO Debt Schedule'!I32+'LBO Debt Schedule'!I31</f>
        <v>911.86333919999993</v>
      </c>
      <c r="I9" s="334">
        <f ca="1">'LBO Debt Schedule'!J76+'LBO Debt Schedule'!J32+'LBO Debt Schedule'!J31</f>
        <v>2579.719991381357</v>
      </c>
      <c r="J9" s="334">
        <f ca="1">'LBO Debt Schedule'!K76+'LBO Debt Schedule'!K32+'LBO Debt Schedule'!K31</f>
        <v>5072.702403931582</v>
      </c>
      <c r="K9" s="334">
        <f ca="1">'LBO Debt Schedule'!L76+'LBO Debt Schedule'!L32+'LBO Debt Schedule'!L31+'LBO Debt Schedule'!L33</f>
        <v>7089.78257748339</v>
      </c>
    </row>
    <row r="10" spans="1:13" ht="13.2">
      <c r="A10" s="56"/>
      <c r="B10" s="125" t="s">
        <v>41</v>
      </c>
      <c r="D10" s="679">
        <f ca="1">IFERROR((SUM(G10:K10)/-F10),"NM")</f>
        <v>1.0959660728033132</v>
      </c>
      <c r="E10" s="641">
        <f ca="1">IFERROR(IRR(F10:K10),0)</f>
        <v>5.2082274563470587E-2</v>
      </c>
      <c r="F10" s="678">
        <f>-(LBO!D45)</f>
        <v>-10128</v>
      </c>
      <c r="G10" s="334">
        <f ca="1">'LBO Debt Schedule'!H77+'LBO Debt Schedule'!H40+'LBO Debt Schedule'!H39</f>
        <v>4445.8676818505683</v>
      </c>
      <c r="H10" s="334">
        <f ca="1">'LBO Debt Schedule'!I77+'LBO Debt Schedule'!I40+'LBO Debt Schedule'!I39</f>
        <v>4208.9428456634778</v>
      </c>
      <c r="I10" s="334">
        <f ca="1">'LBO Debt Schedule'!J77+'LBO Debt Schedule'!J40+'LBO Debt Schedule'!J39</f>
        <v>2445.13385783791</v>
      </c>
      <c r="J10" s="334">
        <f ca="1">'LBO Debt Schedule'!K77+'LBO Debt Schedule'!K40+'LBO Debt Schedule'!K39</f>
        <v>0</v>
      </c>
      <c r="K10" s="334">
        <f ca="1">'LBO Debt Schedule'!L77+'LBO Debt Schedule'!L40+'LBO Debt Schedule'!L39+'LBO Debt Schedule'!L41</f>
        <v>0</v>
      </c>
    </row>
    <row r="11" spans="1:13" ht="13.2">
      <c r="A11" s="56"/>
      <c r="B11" s="125" t="s">
        <v>376</v>
      </c>
      <c r="D11" s="679">
        <f>IFERROR((SUM(G11:K11)/-F11),"NM")</f>
        <v>1.325</v>
      </c>
      <c r="E11" s="641">
        <f>IFERROR(IRR(F11:K11),0)</f>
        <v>6.5000000000000169E-2</v>
      </c>
      <c r="F11" s="678">
        <f>-(LBO!D46)</f>
        <v>-3376</v>
      </c>
      <c r="G11" s="334">
        <f>'LBO Debt Schedule'!H78+'LBO Debt Schedule'!H47</f>
        <v>219.44</v>
      </c>
      <c r="H11" s="334">
        <f>'LBO Debt Schedule'!I78+'LBO Debt Schedule'!I47</f>
        <v>219.44</v>
      </c>
      <c r="I11" s="334">
        <f>'LBO Debt Schedule'!J78+'LBO Debt Schedule'!J47</f>
        <v>219.44</v>
      </c>
      <c r="J11" s="334">
        <f>'LBO Debt Schedule'!K78+'LBO Debt Schedule'!K47</f>
        <v>219.44</v>
      </c>
      <c r="K11" s="334">
        <f>'LBO Debt Schedule'!L78+'LBO Debt Schedule'!L47+'LBO Debt Schedule'!L48</f>
        <v>3595.44</v>
      </c>
    </row>
    <row r="12" spans="1:13" ht="13.2">
      <c r="A12" s="56"/>
      <c r="B12" s="125" t="s">
        <v>375</v>
      </c>
      <c r="D12" s="679">
        <f>IFERROR((SUM(G12:K12)/-F12),"NM")</f>
        <v>1.375</v>
      </c>
      <c r="E12" s="641">
        <f>IFERROR(IRR(F12:K12),0)</f>
        <v>7.4999999999999956E-2</v>
      </c>
      <c r="F12" s="678">
        <f>-(LBO!D47)</f>
        <v>-3376</v>
      </c>
      <c r="G12" s="334">
        <f>'LBO Debt Schedule'!H54+'LBO Debt Schedule'!H79</f>
        <v>253.2</v>
      </c>
      <c r="H12" s="334">
        <f>'LBO Debt Schedule'!I54+'LBO Debt Schedule'!I79</f>
        <v>253.2</v>
      </c>
      <c r="I12" s="334">
        <f>'LBO Debt Schedule'!J54+'LBO Debt Schedule'!J79</f>
        <v>253.2</v>
      </c>
      <c r="J12" s="334">
        <f>'LBO Debt Schedule'!K54+'LBO Debt Schedule'!K79</f>
        <v>253.2</v>
      </c>
      <c r="K12" s="334">
        <f>'LBO Debt Schedule'!L54+'LBO Debt Schedule'!L79+'LBO Debt Schedule'!L55</f>
        <v>3629.2</v>
      </c>
    </row>
    <row r="13" spans="1:13" ht="13.2">
      <c r="A13" s="56"/>
      <c r="B13" s="176" t="s">
        <v>364</v>
      </c>
      <c r="D13" s="103"/>
      <c r="E13" s="103"/>
      <c r="F13" s="689"/>
      <c r="G13" s="349"/>
      <c r="H13" s="349"/>
      <c r="I13" s="349"/>
      <c r="J13" s="349"/>
      <c r="K13" s="349"/>
    </row>
    <row r="14" spans="1:13" ht="13.2">
      <c r="A14" s="56"/>
      <c r="B14" s="628">
        <f>'LBO Exit Valuation'!E7</f>
        <v>6</v>
      </c>
      <c r="D14" s="679">
        <f t="shared" ref="D14:D15" ca="1" si="0">IFERROR((SUM(G14:K14)/-F14),"NM")</f>
        <v>2.0686356361884699</v>
      </c>
      <c r="E14" s="641">
        <f t="shared" ref="E14:E15" ca="1" si="1">IFERROR(IRR(F14:K14),0)</f>
        <v>0.15647646860254394</v>
      </c>
      <c r="F14" s="678">
        <f>-LBO!$D$48</f>
        <v>-19244.940000000002</v>
      </c>
      <c r="G14" s="334">
        <f>G15</f>
        <v>0</v>
      </c>
      <c r="H14" s="334">
        <f t="shared" ref="H14:J15" si="2">H15</f>
        <v>0</v>
      </c>
      <c r="I14" s="334">
        <f t="shared" si="2"/>
        <v>0</v>
      </c>
      <c r="J14" s="334">
        <f t="shared" si="2"/>
        <v>0</v>
      </c>
      <c r="K14" s="348">
        <f ca="1">'LBO Exit Valuation'!E19</f>
        <v>39810.768700308938</v>
      </c>
    </row>
    <row r="15" spans="1:13" ht="13.2">
      <c r="A15" s="56"/>
      <c r="B15" s="628">
        <f>'LBO Exit Valuation'!F7</f>
        <v>6.5</v>
      </c>
      <c r="D15" s="679">
        <f t="shared" ca="1" si="0"/>
        <v>2.2739928671789067</v>
      </c>
      <c r="E15" s="641">
        <f t="shared" ca="1" si="1"/>
        <v>0.17857661481152598</v>
      </c>
      <c r="F15" s="678">
        <f>-LBO!$D$48</f>
        <v>-19244.940000000002</v>
      </c>
      <c r="G15" s="334">
        <f>G16</f>
        <v>0</v>
      </c>
      <c r="H15" s="334">
        <f t="shared" si="2"/>
        <v>0</v>
      </c>
      <c r="I15" s="334">
        <f t="shared" si="2"/>
        <v>0</v>
      </c>
      <c r="J15" s="334">
        <f t="shared" si="2"/>
        <v>0</v>
      </c>
      <c r="K15" s="348">
        <f ca="1">'LBO Exit Valuation'!F19</f>
        <v>43762.856289286035</v>
      </c>
    </row>
    <row r="16" spans="1:13" ht="13.2">
      <c r="A16" s="56"/>
      <c r="B16" s="628">
        <f>'LBO Exit Valuation'!$G$7</f>
        <v>7</v>
      </c>
      <c r="D16" s="679">
        <f ca="1">IFERROR((SUM(G16:K16)/-F16),"NM")</f>
        <v>2.479350098169343</v>
      </c>
      <c r="E16" s="796">
        <f ca="1">IFERROR(IRR(F16:K16),0)</f>
        <v>0.19913359724486335</v>
      </c>
      <c r="F16" s="767">
        <f>-LBO!$D$48</f>
        <v>-19244.940000000002</v>
      </c>
      <c r="G16" s="768">
        <v>0</v>
      </c>
      <c r="H16" s="769">
        <f>G16</f>
        <v>0</v>
      </c>
      <c r="I16" s="769">
        <f t="shared" ref="I16:J16" si="3">H16</f>
        <v>0</v>
      </c>
      <c r="J16" s="769">
        <f t="shared" si="3"/>
        <v>0</v>
      </c>
      <c r="K16" s="582">
        <f ca="1">'LBO Exit Valuation'!G19</f>
        <v>47714.943878263119</v>
      </c>
    </row>
    <row r="17" spans="1:11" ht="13.2">
      <c r="A17" s="56"/>
      <c r="B17" s="628">
        <f>'LBO Exit Valuation'!$H$7</f>
        <v>7.5</v>
      </c>
      <c r="D17" s="679">
        <f ca="1">IFERROR((SUM(G17:K17)/-F17),"NM")</f>
        <v>2.6847073291597798</v>
      </c>
      <c r="E17" s="796">
        <f ca="1">IFERROR(IRR(F17:K17),0)</f>
        <v>0.21837054111345777</v>
      </c>
      <c r="F17" s="767">
        <f>-LBO!$D$48</f>
        <v>-19244.940000000002</v>
      </c>
      <c r="G17" s="770">
        <f t="shared" ref="G17:J20" si="4">G16</f>
        <v>0</v>
      </c>
      <c r="H17" s="770">
        <f t="shared" si="4"/>
        <v>0</v>
      </c>
      <c r="I17" s="770">
        <f t="shared" si="4"/>
        <v>0</v>
      </c>
      <c r="J17" s="770">
        <f t="shared" si="4"/>
        <v>0</v>
      </c>
      <c r="K17" s="582">
        <f ca="1">'LBO Exit Valuation'!H19</f>
        <v>51667.031467240216</v>
      </c>
    </row>
    <row r="18" spans="1:11" ht="13.2">
      <c r="A18" s="56"/>
      <c r="B18" s="628">
        <f>'LBO Exit Valuation'!$I$7</f>
        <v>8</v>
      </c>
      <c r="D18" s="679">
        <f ca="1">IFERROR((SUM(G18:K18)/-F18),"NM")</f>
        <v>2.8900645601502157</v>
      </c>
      <c r="E18" s="641">
        <f ca="1">IFERROR(IRR(F18:K18),0)</f>
        <v>0.23646409284092873</v>
      </c>
      <c r="F18" s="678">
        <f>-LBO!$D$48</f>
        <v>-19244.940000000002</v>
      </c>
      <c r="G18" s="334">
        <f t="shared" si="4"/>
        <v>0</v>
      </c>
      <c r="H18" s="334">
        <f t="shared" si="4"/>
        <v>0</v>
      </c>
      <c r="I18" s="334">
        <f t="shared" si="4"/>
        <v>0</v>
      </c>
      <c r="J18" s="334">
        <f t="shared" si="4"/>
        <v>0</v>
      </c>
      <c r="K18" s="348">
        <f ca="1">'LBO Exit Valuation'!I19</f>
        <v>55619.1190562173</v>
      </c>
    </row>
    <row r="19" spans="1:11" ht="13.2">
      <c r="A19" s="56"/>
      <c r="B19" s="628">
        <f>'LBO Exit Valuation'!$J$7</f>
        <v>8.5</v>
      </c>
      <c r="D19" s="679">
        <f ca="1">IFERROR((SUM(G19:K19)/-F19),"NM")</f>
        <v>3.0954217911406525</v>
      </c>
      <c r="E19" s="641">
        <f ca="1">IFERROR(IRR(F19:K19),0)</f>
        <v>0.25355665577919151</v>
      </c>
      <c r="F19" s="678">
        <f>-LBO!$D$48</f>
        <v>-19244.940000000002</v>
      </c>
      <c r="G19" s="334">
        <f t="shared" si="4"/>
        <v>0</v>
      </c>
      <c r="H19" s="334">
        <f t="shared" si="4"/>
        <v>0</v>
      </c>
      <c r="I19" s="334">
        <f t="shared" si="4"/>
        <v>0</v>
      </c>
      <c r="J19" s="334">
        <f t="shared" si="4"/>
        <v>0</v>
      </c>
      <c r="K19" s="348">
        <f ca="1">'LBO Exit Valuation'!J19</f>
        <v>59571.206645194397</v>
      </c>
    </row>
    <row r="20" spans="1:11" ht="13.2">
      <c r="A20" s="56"/>
      <c r="B20" s="628">
        <f>'LBO Exit Valuation'!$K$7</f>
        <v>9</v>
      </c>
      <c r="D20" s="679">
        <f ca="1">IFERROR((SUM(G20:K20)/-F20),"NM")</f>
        <v>3.3007790221310884</v>
      </c>
      <c r="E20" s="641">
        <f ca="1">IFERROR(IRR(F20:K20),0)</f>
        <v>0.26976481919329998</v>
      </c>
      <c r="F20" s="678">
        <f>-LBO!$D$48</f>
        <v>-19244.940000000002</v>
      </c>
      <c r="G20" s="334">
        <f t="shared" si="4"/>
        <v>0</v>
      </c>
      <c r="H20" s="334">
        <f t="shared" si="4"/>
        <v>0</v>
      </c>
      <c r="I20" s="334">
        <f t="shared" si="4"/>
        <v>0</v>
      </c>
      <c r="J20" s="334">
        <f t="shared" si="4"/>
        <v>0</v>
      </c>
      <c r="K20" s="348">
        <f ca="1">'LBO Exit Valuation'!K19</f>
        <v>63523.294234171481</v>
      </c>
    </row>
    <row r="21" spans="1:11" ht="13.2">
      <c r="A21" s="56"/>
      <c r="B21" s="95"/>
      <c r="C21" s="95"/>
      <c r="D21" s="95"/>
      <c r="E21" s="362"/>
      <c r="F21" s="95"/>
      <c r="G21" s="95"/>
      <c r="H21" s="95"/>
      <c r="I21" s="95"/>
      <c r="J21" s="95"/>
      <c r="K21" s="95"/>
    </row>
    <row r="22" spans="1:11" ht="13.2">
      <c r="A22" s="56"/>
    </row>
    <row r="23" spans="1:11" ht="13.2">
      <c r="A23" s="56"/>
      <c r="B23" s="121" t="s">
        <v>369</v>
      </c>
    </row>
    <row r="24" spans="1:11">
      <c r="D24" s="121" t="s">
        <v>365</v>
      </c>
      <c r="F24" s="363" t="s">
        <v>366</v>
      </c>
      <c r="G24" s="79"/>
      <c r="H24" s="79"/>
      <c r="I24" s="79"/>
      <c r="J24" s="79"/>
      <c r="K24" s="79"/>
    </row>
    <row r="25" spans="1:11">
      <c r="B25" s="125" t="s">
        <v>367</v>
      </c>
      <c r="D25" s="103"/>
      <c r="E25" s="103"/>
      <c r="F25" s="951">
        <v>0.15</v>
      </c>
      <c r="G25" s="952">
        <f>F25+0.05</f>
        <v>0.2</v>
      </c>
      <c r="H25" s="952">
        <f t="shared" ref="H25" si="5">G25+0.05</f>
        <v>0.25</v>
      </c>
      <c r="I25" s="952">
        <f t="shared" ref="I25" si="6">H25+0.05</f>
        <v>0.3</v>
      </c>
      <c r="J25" s="952">
        <f t="shared" ref="J25" si="7">I25+0.05</f>
        <v>0.35</v>
      </c>
      <c r="K25" s="952">
        <f t="shared" ref="K25" si="8">J25+0.05</f>
        <v>0.39999999999999997</v>
      </c>
    </row>
    <row r="26" spans="1:11">
      <c r="B26" s="125" t="s">
        <v>31</v>
      </c>
      <c r="D26" s="690">
        <f>LBO!E28</f>
        <v>46303</v>
      </c>
      <c r="E26" s="689"/>
      <c r="F26" s="678">
        <f ca="1">-PV(F25,5,0,'LBO Exit Valuation'!$G$19)-LBO!$D$36-LBO!$D$37+LBO!$D$42+SUM(LBO!$D$43:$D$47)</f>
        <v>50780.820022335982</v>
      </c>
      <c r="G26" s="678">
        <f ca="1">-PV(G25,5,0,'LBO Exit Valuation'!$G$19)-LBO!$D$36-LBO!$D$37+LBO!$D$42+SUM(LBO!$D$43:$D$47)</f>
        <v>46233.625794698077</v>
      </c>
      <c r="H26" s="678">
        <f ca="1">-PV(H25,5,0,'LBO Exit Valuation'!$G$19)-LBO!$D$36-LBO!$D$37+LBO!$D$42+SUM(LBO!$D$43:$D$47)</f>
        <v>42693.292810029256</v>
      </c>
      <c r="I26" s="678">
        <f ca="1">-PV(I25,5,0,'LBO Exit Valuation'!$G$19)-LBO!$D$36-LBO!$D$37+LBO!$D$42+SUM(LBO!$D$43:$D$47)</f>
        <v>39909.081667056234</v>
      </c>
      <c r="J26" s="678">
        <f ca="1">-PV(J25,5,0,'LBO Exit Valuation'!$G$19)-LBO!$D$36-LBO!$D$37+LBO!$D$42+SUM(LBO!$D$43:$D$47)</f>
        <v>37699.136732216743</v>
      </c>
      <c r="K26" s="678">
        <f ca="1">-PV(K25,5,0,'LBO Exit Valuation'!$G$19)-LBO!$D$36-LBO!$D$37+LBO!$D$42+SUM(LBO!$D$43:$D$47)</f>
        <v>35929.910991823184</v>
      </c>
    </row>
    <row r="27" spans="1:11">
      <c r="B27" s="125" t="s">
        <v>5</v>
      </c>
      <c r="D27" s="678">
        <f>Assumptions!N9+Assumptions!N11</f>
        <v>952.42099999999994</v>
      </c>
      <c r="E27" s="689"/>
      <c r="F27" s="678">
        <f>$D$27</f>
        <v>952.42099999999994</v>
      </c>
      <c r="G27" s="678">
        <f t="shared" ref="G27:K27" si="9">$D$27</f>
        <v>952.42099999999994</v>
      </c>
      <c r="H27" s="678">
        <f t="shared" si="9"/>
        <v>952.42099999999994</v>
      </c>
      <c r="I27" s="678">
        <f t="shared" si="9"/>
        <v>952.42099999999994</v>
      </c>
      <c r="J27" s="678">
        <f t="shared" si="9"/>
        <v>952.42099999999994</v>
      </c>
      <c r="K27" s="678">
        <f t="shared" si="9"/>
        <v>952.42099999999994</v>
      </c>
    </row>
    <row r="28" spans="1:11">
      <c r="B28" s="125" t="s">
        <v>58</v>
      </c>
      <c r="D28" s="678">
        <f>D26/D27</f>
        <v>48.616105692755625</v>
      </c>
      <c r="E28" s="689"/>
      <c r="F28" s="678">
        <f ca="1">F26/F27</f>
        <v>53.317619017573094</v>
      </c>
      <c r="G28" s="678">
        <f t="shared" ref="G28:K28" ca="1" si="10">G26/G27</f>
        <v>48.543265840104411</v>
      </c>
      <c r="H28" s="678">
        <f t="shared" ca="1" si="10"/>
        <v>44.826072514181497</v>
      </c>
      <c r="I28" s="678">
        <f t="shared" ca="1" si="10"/>
        <v>41.902773738773334</v>
      </c>
      <c r="J28" s="678">
        <f t="shared" ca="1" si="10"/>
        <v>39.582429127682765</v>
      </c>
      <c r="K28" s="678">
        <f t="shared" ca="1" si="10"/>
        <v>37.724820212724403</v>
      </c>
    </row>
    <row r="29" spans="1:11">
      <c r="B29" s="125" t="s">
        <v>59</v>
      </c>
      <c r="D29" s="641">
        <f>(D28/LBO!E9)-1</f>
        <v>6.9190800368498451E-2</v>
      </c>
      <c r="E29" s="103"/>
      <c r="F29" s="641">
        <f ca="1">(F28/LBO!$E$9)-1</f>
        <v>0.17258893814763798</v>
      </c>
      <c r="G29" s="641">
        <f ca="1">(G28/LBO!$E$9)-1</f>
        <v>6.7588868267086211E-2</v>
      </c>
      <c r="H29" s="641">
        <f ca="1">(H28/LBO!$E$9)-1</f>
        <v>-1.4161589747492931E-2</v>
      </c>
      <c r="I29" s="641">
        <f ca="1">(I28/LBO!$E$9)-1</f>
        <v>-7.8452303963639003E-2</v>
      </c>
      <c r="J29" s="641">
        <f ca="1">(J28/LBO!$E$9)-1</f>
        <v>-0.12948253512903529</v>
      </c>
      <c r="K29" s="641">
        <f ca="1">(K28/LBO!$E$9)-1</f>
        <v>-0.17033604106610067</v>
      </c>
    </row>
    <row r="30" spans="1:11">
      <c r="D30" s="103"/>
      <c r="E30" s="103"/>
      <c r="F30" s="103"/>
      <c r="G30" s="103"/>
      <c r="H30" s="103"/>
      <c r="I30" s="103"/>
      <c r="J30" s="103"/>
      <c r="K30" s="103"/>
    </row>
    <row r="31" spans="1:11">
      <c r="B31" s="121" t="s">
        <v>28</v>
      </c>
      <c r="D31" s="678">
        <f>D26-LBO!E11-LBO!E12</f>
        <v>47264</v>
      </c>
      <c r="E31" s="689"/>
      <c r="F31" s="678">
        <f ca="1">F26-LBO!$E$11-LBO!$E$12</f>
        <v>51741.820022335982</v>
      </c>
      <c r="G31" s="678">
        <f ca="1">G26-LBO!$E$11-LBO!$E$12</f>
        <v>47194.625794698077</v>
      </c>
      <c r="H31" s="678">
        <f ca="1">H26-LBO!$E$11-LBO!$E$12</f>
        <v>43654.292810029256</v>
      </c>
      <c r="I31" s="678">
        <f ca="1">I26-LBO!$E$11-LBO!$E$12</f>
        <v>40870.081667056234</v>
      </c>
      <c r="J31" s="678">
        <f ca="1">J26-LBO!$E$11-LBO!$E$12</f>
        <v>38660.136732216743</v>
      </c>
      <c r="K31" s="678">
        <f ca="1">K26-LBO!$E$11-LBO!$E$12</f>
        <v>36890.910991823184</v>
      </c>
    </row>
    <row r="32" spans="1:11">
      <c r="B32" s="125" t="s">
        <v>368</v>
      </c>
      <c r="D32" s="679">
        <f>D31/LBO!E10</f>
        <v>7</v>
      </c>
      <c r="E32" s="103"/>
      <c r="F32" s="679">
        <f ca="1">F31/LBO!$E$10</f>
        <v>7.6631842450142154</v>
      </c>
      <c r="G32" s="679">
        <f ca="1">G31/LBO!$E$10</f>
        <v>6.9897253842858529</v>
      </c>
      <c r="H32" s="679">
        <f ca="1">H31/LBO!$E$10</f>
        <v>6.4653869683100202</v>
      </c>
      <c r="I32" s="679">
        <f ca="1">I31/LBO!$E$10</f>
        <v>6.0530334222535895</v>
      </c>
      <c r="J32" s="679">
        <f ca="1">J31/LBO!$E$10</f>
        <v>5.7257311510984508</v>
      </c>
      <c r="K32" s="679">
        <f ca="1">K31/LBO!$E$10</f>
        <v>5.4637012724856611</v>
      </c>
    </row>
    <row r="33" spans="2:11">
      <c r="B33" s="95"/>
      <c r="C33" s="95"/>
      <c r="D33" s="364"/>
      <c r="E33" s="95"/>
      <c r="F33" s="364"/>
      <c r="G33" s="364"/>
      <c r="H33" s="364"/>
      <c r="I33" s="364"/>
      <c r="J33" s="364"/>
      <c r="K33" s="364"/>
    </row>
    <row r="34" spans="2:11">
      <c r="D34" s="365"/>
    </row>
    <row r="35" spans="2:11">
      <c r="D35" s="365"/>
    </row>
    <row r="36" spans="2:11">
      <c r="D36" s="365"/>
    </row>
    <row r="37" spans="2:11">
      <c r="E37" s="366"/>
      <c r="F37" s="367"/>
      <c r="G37" s="367"/>
      <c r="H37" s="367"/>
      <c r="I37" s="367"/>
      <c r="J37" s="367"/>
    </row>
    <row r="38" spans="2:11">
      <c r="D38" s="183"/>
      <c r="E38" s="368"/>
      <c r="F38" s="368"/>
      <c r="G38" s="369"/>
      <c r="H38" s="368"/>
      <c r="I38" s="368"/>
      <c r="J38" s="368"/>
    </row>
    <row r="39" spans="2:11">
      <c r="D39" s="370"/>
      <c r="E39" s="371"/>
      <c r="F39" s="371"/>
      <c r="G39" s="371"/>
      <c r="H39" s="371"/>
      <c r="I39" s="371"/>
      <c r="J39" s="371"/>
    </row>
    <row r="40" spans="2:11">
      <c r="B40" s="336"/>
      <c r="D40" s="370"/>
      <c r="E40" s="373"/>
      <c r="F40" s="373"/>
      <c r="G40" s="371"/>
      <c r="H40" s="371"/>
      <c r="I40" s="371"/>
      <c r="J40" s="371"/>
    </row>
    <row r="41" spans="2:11">
      <c r="B41" s="374"/>
      <c r="C41" s="372"/>
      <c r="D41" s="369"/>
      <c r="E41" s="373"/>
      <c r="F41" s="373"/>
      <c r="G41" s="371"/>
      <c r="H41" s="371"/>
      <c r="I41" s="371"/>
      <c r="J41" s="371"/>
    </row>
    <row r="42" spans="2:11">
      <c r="B42" s="343"/>
      <c r="C42" s="351"/>
      <c r="D42" s="370"/>
      <c r="E42" s="375"/>
      <c r="F42" s="375"/>
      <c r="G42" s="375"/>
      <c r="H42" s="375"/>
      <c r="I42" s="371"/>
      <c r="J42" s="371"/>
    </row>
    <row r="43" spans="2:11">
      <c r="C43" s="376"/>
      <c r="D43" s="370"/>
      <c r="E43" s="377"/>
      <c r="F43" s="377"/>
      <c r="G43" s="377"/>
      <c r="H43" s="377"/>
      <c r="I43" s="371"/>
      <c r="J43" s="371"/>
    </row>
    <row r="44" spans="2:11">
      <c r="C44" s="150"/>
      <c r="D44" s="370"/>
      <c r="E44" s="378"/>
      <c r="F44" s="378"/>
      <c r="G44" s="378"/>
      <c r="H44" s="378"/>
      <c r="I44" s="371"/>
      <c r="J44" s="371"/>
    </row>
    <row r="45" spans="2:11">
      <c r="C45" s="150"/>
      <c r="D45" s="370"/>
      <c r="E45" s="371"/>
      <c r="F45" s="371"/>
      <c r="G45" s="371"/>
      <c r="H45" s="371"/>
      <c r="I45" s="371"/>
      <c r="J45" s="371"/>
    </row>
    <row r="46" spans="2:11">
      <c r="C46" s="379"/>
      <c r="D46" s="109"/>
      <c r="E46" s="109"/>
      <c r="F46" s="109"/>
      <c r="G46" s="109"/>
      <c r="H46" s="109"/>
    </row>
    <row r="47" spans="2:11">
      <c r="B47" s="339"/>
      <c r="C47" s="380"/>
      <c r="D47" s="381"/>
      <c r="E47" s="381"/>
      <c r="F47" s="381"/>
      <c r="G47" s="381"/>
      <c r="H47" s="381"/>
    </row>
    <row r="48" spans="2:11">
      <c r="B48" s="339"/>
      <c r="C48" s="382"/>
      <c r="D48" s="381"/>
      <c r="E48" s="381"/>
      <c r="F48" s="381"/>
      <c r="G48" s="381"/>
      <c r="H48" s="381"/>
    </row>
    <row r="49" spans="1:8">
      <c r="B49" s="343"/>
      <c r="C49" s="383"/>
      <c r="D49" s="107"/>
      <c r="E49" s="107"/>
      <c r="F49" s="107"/>
      <c r="G49" s="107"/>
      <c r="H49" s="107"/>
    </row>
    <row r="50" spans="1:8">
      <c r="B50" s="339"/>
      <c r="C50" s="384"/>
      <c r="D50" s="385"/>
      <c r="E50" s="385"/>
      <c r="F50" s="385"/>
      <c r="G50" s="385"/>
      <c r="H50" s="385"/>
    </row>
    <row r="51" spans="1:8">
      <c r="B51" s="77"/>
    </row>
    <row r="52" spans="1:8" ht="13.2">
      <c r="A52" s="56"/>
    </row>
    <row r="53" spans="1:8" ht="13.2">
      <c r="A53" s="56"/>
    </row>
    <row r="54" spans="1:8" ht="13.2">
      <c r="A54" s="56"/>
    </row>
    <row r="55" spans="1:8" ht="13.2">
      <c r="A55" s="56"/>
    </row>
    <row r="56" spans="1:8" ht="13.2">
      <c r="A56" s="56"/>
    </row>
    <row r="57" spans="1:8" ht="13.2">
      <c r="A57" s="56"/>
    </row>
    <row r="58" spans="1:8" ht="13.2">
      <c r="A58" s="56"/>
    </row>
    <row r="59" spans="1:8" ht="13.2">
      <c r="A59" s="56"/>
    </row>
    <row r="60" spans="1:8" ht="13.2">
      <c r="A60" s="56"/>
    </row>
    <row r="61" spans="1:8" ht="13.2">
      <c r="A61" s="56"/>
    </row>
  </sheetData>
  <printOptions horizontalCentered="1"/>
  <pageMargins left="0.7" right="0.7" top="0.75" bottom="0.75" header="0.3" footer="0.3"/>
  <pageSetup scale="88" fitToHeight="0" orientation="landscape" r:id="rId1"/>
  <headerFooter differentOddEven="1">
    <oddFooter>&amp;L&amp;"Arial"&amp;8Tyler Spencer&amp;C&amp;"Arial"&amp;8&amp;INot associated with PayPal. For educational purposes only.&amp;R&amp;"Arial"&amp;8Page &amp;P</oddFooter>
    <evenFooter>&amp;L&amp;"Arial"&amp;8Tyler Spencer&amp;C&amp;"Arial"&amp;8&amp;INot associated with PayPal. For educational purposes only.&amp;R&amp;"Arial"&amp;8Page &amp;P</even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180A6-3298-44DD-8894-D9267782A42D}">
  <sheetPr>
    <pageSetUpPr fitToPage="1"/>
  </sheetPr>
  <dimension ref="A1:O177"/>
  <sheetViews>
    <sheetView topLeftCell="A47" workbookViewId="0">
      <selection activeCell="I9" sqref="I9"/>
    </sheetView>
  </sheetViews>
  <sheetFormatPr defaultColWidth="9.109375" defaultRowHeight="14.4"/>
  <cols>
    <col min="1" max="1" width="2" style="55" customWidth="1"/>
    <col min="2" max="2" width="16.5546875" style="1" customWidth="1"/>
    <col min="3" max="16384" width="9.109375" style="1"/>
  </cols>
  <sheetData>
    <row r="1" spans="1:15">
      <c r="A1" s="56"/>
      <c r="O1" s="735" t="str">
        <f>"CURRENTLY RUNNING: "&amp;UPPER(CHOOSE(Scenarios!$C$6,Scenarios!B10,Scenarios!B11,Scenarios!B12))&amp;" SCENARIO"</f>
        <v>CURRENTLY RUNNING: BASE CASE SCENARIO</v>
      </c>
    </row>
    <row r="2" spans="1:15" ht="22.8">
      <c r="B2" s="201" t="s">
        <v>87</v>
      </c>
      <c r="C2" s="731"/>
      <c r="D2" s="731"/>
      <c r="E2" s="731"/>
      <c r="F2" s="731"/>
      <c r="G2" s="731"/>
      <c r="H2" s="731"/>
      <c r="I2" s="731"/>
      <c r="J2" s="731"/>
      <c r="K2" s="731"/>
      <c r="L2" s="731"/>
      <c r="M2" s="731"/>
      <c r="N2" s="731"/>
      <c r="O2" s="731"/>
    </row>
    <row r="3" spans="1:15" ht="23.4" thickBot="1">
      <c r="B3" s="219" t="s">
        <v>610</v>
      </c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</row>
    <row r="4" spans="1:15">
      <c r="B4" s="729" t="s">
        <v>619</v>
      </c>
    </row>
    <row r="5" spans="1:15">
      <c r="B5" s="729" t="s">
        <v>620</v>
      </c>
    </row>
    <row r="6" spans="1:15">
      <c r="A6" s="56"/>
      <c r="B6" s="55"/>
    </row>
    <row r="7" spans="1:15">
      <c r="A7" s="56"/>
      <c r="B7" s="568" t="s">
        <v>604</v>
      </c>
    </row>
    <row r="8" spans="1:15">
      <c r="A8" s="56"/>
      <c r="B8" s="568"/>
    </row>
    <row r="9" spans="1:15">
      <c r="A9" s="56"/>
      <c r="B9" s="730" t="s">
        <v>614</v>
      </c>
    </row>
    <row r="10" spans="1:15">
      <c r="A10" s="56"/>
      <c r="B10" s="732"/>
      <c r="C10" s="733" t="s">
        <v>611</v>
      </c>
      <c r="D10" s="732"/>
      <c r="E10" s="732"/>
      <c r="F10" s="732"/>
      <c r="G10" s="732"/>
      <c r="H10" s="732"/>
      <c r="I10" s="732"/>
      <c r="J10" s="732"/>
      <c r="K10" s="732"/>
      <c r="L10" s="732"/>
      <c r="M10" s="732"/>
      <c r="N10" s="732"/>
      <c r="O10" s="732"/>
    </row>
    <row r="11" spans="1:15">
      <c r="A11" s="56"/>
      <c r="B11" s="732"/>
      <c r="C11" s="733" t="s">
        <v>612</v>
      </c>
      <c r="D11" s="732"/>
      <c r="E11" s="732"/>
      <c r="F11" s="732"/>
      <c r="G11" s="732"/>
      <c r="H11" s="732"/>
      <c r="I11" s="732"/>
      <c r="J11" s="732"/>
      <c r="K11" s="732"/>
      <c r="L11" s="732"/>
      <c r="M11" s="732"/>
      <c r="N11" s="732"/>
      <c r="O11" s="732"/>
    </row>
    <row r="12" spans="1:15">
      <c r="A12" s="56"/>
      <c r="B12" s="732"/>
      <c r="C12" s="733" t="s">
        <v>617</v>
      </c>
      <c r="D12" s="732"/>
      <c r="E12" s="732"/>
      <c r="F12" s="732"/>
      <c r="G12" s="732"/>
      <c r="H12" s="732"/>
      <c r="I12" s="732"/>
      <c r="J12" s="732"/>
      <c r="K12" s="732"/>
      <c r="L12" s="732"/>
      <c r="M12" s="732"/>
      <c r="N12" s="732"/>
      <c r="O12" s="732"/>
    </row>
    <row r="13" spans="1:15">
      <c r="A13" s="56"/>
      <c r="B13" s="732"/>
      <c r="C13" s="733" t="s">
        <v>618</v>
      </c>
      <c r="D13" s="732"/>
      <c r="E13" s="732"/>
      <c r="F13" s="732"/>
      <c r="G13" s="732"/>
      <c r="H13" s="732"/>
      <c r="I13" s="732"/>
      <c r="J13" s="732"/>
      <c r="K13" s="732"/>
      <c r="L13" s="732"/>
      <c r="M13" s="732"/>
      <c r="N13" s="732"/>
      <c r="O13" s="732"/>
    </row>
    <row r="14" spans="1:15">
      <c r="A14" s="56"/>
      <c r="B14" s="732"/>
      <c r="C14" s="733"/>
      <c r="D14" s="732"/>
      <c r="E14" s="732"/>
      <c r="F14" s="732"/>
      <c r="G14" s="732"/>
      <c r="H14" s="732"/>
      <c r="I14" s="732"/>
      <c r="J14" s="732"/>
      <c r="K14" s="732"/>
      <c r="L14" s="732"/>
      <c r="M14" s="732"/>
      <c r="N14" s="732"/>
      <c r="O14" s="732"/>
    </row>
    <row r="15" spans="1:15">
      <c r="A15" s="56"/>
      <c r="B15" s="734" t="s">
        <v>613</v>
      </c>
    </row>
    <row r="16" spans="1:15">
      <c r="A16" s="56"/>
      <c r="B16" s="55"/>
    </row>
    <row r="17" spans="1:2">
      <c r="A17" s="56"/>
      <c r="B17" s="568" t="s">
        <v>605</v>
      </c>
    </row>
    <row r="18" spans="1:2">
      <c r="A18" s="56"/>
      <c r="B18" s="568"/>
    </row>
    <row r="19" spans="1:2">
      <c r="A19" s="56"/>
      <c r="B19" s="734" t="s">
        <v>615</v>
      </c>
    </row>
    <row r="20" spans="1:2">
      <c r="A20" s="56"/>
      <c r="B20" s="734" t="s">
        <v>616</v>
      </c>
    </row>
    <row r="21" spans="1:2">
      <c r="A21" s="56"/>
      <c r="B21" s="55"/>
    </row>
    <row r="22" spans="1:2">
      <c r="A22" s="56"/>
      <c r="B22" s="568" t="s">
        <v>606</v>
      </c>
    </row>
    <row r="23" spans="1:2">
      <c r="A23" s="56"/>
      <c r="B23" s="568"/>
    </row>
    <row r="24" spans="1:2">
      <c r="A24" s="56"/>
      <c r="B24" s="734" t="s">
        <v>607</v>
      </c>
    </row>
    <row r="25" spans="1:2">
      <c r="A25" s="56"/>
      <c r="B25" s="734" t="s">
        <v>608</v>
      </c>
    </row>
    <row r="26" spans="1:2">
      <c r="A26" s="56"/>
      <c r="B26" s="734" t="s">
        <v>609</v>
      </c>
    </row>
    <row r="27" spans="1:2">
      <c r="A27" s="56"/>
      <c r="B27" s="55"/>
    </row>
    <row r="28" spans="1:2">
      <c r="A28" s="56"/>
      <c r="B28" s="568" t="s">
        <v>459</v>
      </c>
    </row>
    <row r="29" spans="1:2">
      <c r="A29" s="56"/>
      <c r="B29" s="55"/>
    </row>
    <row r="30" spans="1:2">
      <c r="A30" s="56"/>
      <c r="B30" s="568" t="s">
        <v>511</v>
      </c>
    </row>
    <row r="31" spans="1:2">
      <c r="A31" s="56"/>
      <c r="B31" s="568"/>
    </row>
    <row r="32" spans="1:2">
      <c r="A32" s="56"/>
      <c r="B32" s="730" t="s">
        <v>518</v>
      </c>
    </row>
    <row r="33" spans="1:2">
      <c r="A33" s="56"/>
      <c r="B33" s="730" t="s">
        <v>519</v>
      </c>
    </row>
    <row r="34" spans="1:2">
      <c r="A34" s="56"/>
      <c r="B34" s="730" t="s">
        <v>520</v>
      </c>
    </row>
    <row r="35" spans="1:2">
      <c r="A35" s="56"/>
      <c r="B35" s="730" t="s">
        <v>521</v>
      </c>
    </row>
    <row r="36" spans="1:2">
      <c r="A36" s="56"/>
      <c r="B36" s="55"/>
    </row>
    <row r="37" spans="1:2">
      <c r="A37" s="56"/>
      <c r="B37" s="568" t="s">
        <v>512</v>
      </c>
    </row>
    <row r="38" spans="1:2">
      <c r="A38" s="56"/>
      <c r="B38" s="568"/>
    </row>
    <row r="39" spans="1:2">
      <c r="A39" s="56"/>
      <c r="B39" s="730" t="s">
        <v>522</v>
      </c>
    </row>
    <row r="40" spans="1:2">
      <c r="A40" s="56"/>
      <c r="B40" s="730" t="s">
        <v>523</v>
      </c>
    </row>
    <row r="41" spans="1:2">
      <c r="A41" s="56"/>
      <c r="B41" s="730" t="s">
        <v>524</v>
      </c>
    </row>
    <row r="42" spans="1:2">
      <c r="A42" s="56"/>
      <c r="B42" s="730" t="s">
        <v>525</v>
      </c>
    </row>
    <row r="43" spans="1:2">
      <c r="A43" s="56"/>
      <c r="B43" s="55"/>
    </row>
    <row r="44" spans="1:2">
      <c r="A44" s="56"/>
      <c r="B44" s="568" t="s">
        <v>513</v>
      </c>
    </row>
    <row r="45" spans="1:2">
      <c r="A45" s="56"/>
      <c r="B45" s="568"/>
    </row>
    <row r="46" spans="1:2">
      <c r="A46" s="56"/>
      <c r="B46" s="730" t="s">
        <v>526</v>
      </c>
    </row>
    <row r="47" spans="1:2">
      <c r="A47" s="56"/>
      <c r="B47" s="730" t="s">
        <v>527</v>
      </c>
    </row>
    <row r="48" spans="1:2">
      <c r="A48" s="56"/>
      <c r="B48" s="730" t="s">
        <v>528</v>
      </c>
    </row>
    <row r="49" spans="1:2">
      <c r="A49" s="56"/>
      <c r="B49" s="730" t="s">
        <v>529</v>
      </c>
    </row>
    <row r="50" spans="1:2">
      <c r="A50" s="56"/>
      <c r="B50" s="55"/>
    </row>
    <row r="51" spans="1:2">
      <c r="A51" s="56"/>
      <c r="B51" s="568" t="s">
        <v>514</v>
      </c>
    </row>
    <row r="52" spans="1:2">
      <c r="A52" s="56"/>
      <c r="B52" s="568"/>
    </row>
    <row r="53" spans="1:2">
      <c r="A53" s="56"/>
      <c r="B53" s="730" t="s">
        <v>530</v>
      </c>
    </row>
    <row r="54" spans="1:2">
      <c r="A54" s="56"/>
      <c r="B54" s="730" t="s">
        <v>531</v>
      </c>
    </row>
    <row r="55" spans="1:2">
      <c r="A55" s="56"/>
      <c r="B55" s="730" t="s">
        <v>532</v>
      </c>
    </row>
    <row r="56" spans="1:2">
      <c r="A56" s="56"/>
      <c r="B56" s="55"/>
    </row>
    <row r="57" spans="1:2">
      <c r="A57" s="56"/>
      <c r="B57" s="568" t="s">
        <v>515</v>
      </c>
    </row>
    <row r="58" spans="1:2">
      <c r="A58" s="56"/>
      <c r="B58" s="568"/>
    </row>
    <row r="59" spans="1:2">
      <c r="A59" s="56"/>
      <c r="B59" s="730" t="s">
        <v>533</v>
      </c>
    </row>
    <row r="60" spans="1:2">
      <c r="A60" s="56"/>
      <c r="B60" s="730" t="s">
        <v>534</v>
      </c>
    </row>
    <row r="61" spans="1:2">
      <c r="A61" s="56"/>
      <c r="B61" s="730" t="s">
        <v>535</v>
      </c>
    </row>
    <row r="62" spans="1:2">
      <c r="A62" s="56"/>
      <c r="B62" s="55"/>
    </row>
    <row r="63" spans="1:2">
      <c r="A63" s="56"/>
      <c r="B63" s="568" t="s">
        <v>516</v>
      </c>
    </row>
    <row r="64" spans="1:2">
      <c r="A64" s="56"/>
      <c r="B64" s="568"/>
    </row>
    <row r="65" spans="1:2">
      <c r="A65" s="56"/>
      <c r="B65" s="730" t="s">
        <v>536</v>
      </c>
    </row>
    <row r="66" spans="1:2">
      <c r="A66" s="56"/>
      <c r="B66" s="730" t="s">
        <v>537</v>
      </c>
    </row>
    <row r="67" spans="1:2">
      <c r="A67" s="56"/>
      <c r="B67" s="730" t="s">
        <v>538</v>
      </c>
    </row>
    <row r="68" spans="1:2">
      <c r="A68" s="56"/>
      <c r="B68" s="730" t="s">
        <v>539</v>
      </c>
    </row>
    <row r="69" spans="1:2">
      <c r="A69" s="56"/>
      <c r="B69" s="55"/>
    </row>
    <row r="70" spans="1:2">
      <c r="A70" s="56"/>
      <c r="B70" s="568" t="s">
        <v>517</v>
      </c>
    </row>
    <row r="71" spans="1:2">
      <c r="A71" s="56"/>
      <c r="B71" s="568"/>
    </row>
    <row r="72" spans="1:2">
      <c r="A72" s="56"/>
      <c r="B72" s="730" t="s">
        <v>540</v>
      </c>
    </row>
    <row r="73" spans="1:2">
      <c r="A73" s="56"/>
      <c r="B73" s="730" t="s">
        <v>541</v>
      </c>
    </row>
    <row r="74" spans="1:2">
      <c r="A74" s="56"/>
      <c r="B74" s="730" t="s">
        <v>542</v>
      </c>
    </row>
    <row r="75" spans="1:2">
      <c r="A75" s="56"/>
    </row>
    <row r="76" spans="1:2">
      <c r="A76" s="56"/>
    </row>
    <row r="77" spans="1:2">
      <c r="A77" s="56"/>
    </row>
    <row r="78" spans="1:2">
      <c r="A78" s="56"/>
    </row>
    <row r="79" spans="1:2">
      <c r="A79" s="56"/>
    </row>
    <row r="80" spans="1:2">
      <c r="A80" s="56"/>
    </row>
    <row r="81" spans="1:1">
      <c r="A81" s="56"/>
    </row>
    <row r="82" spans="1:1">
      <c r="A82" s="56"/>
    </row>
    <row r="83" spans="1:1">
      <c r="A83" s="56"/>
    </row>
    <row r="84" spans="1:1">
      <c r="A84" s="56"/>
    </row>
    <row r="85" spans="1:1">
      <c r="A85" s="56"/>
    </row>
    <row r="86" spans="1:1">
      <c r="A86" s="56"/>
    </row>
    <row r="87" spans="1:1">
      <c r="A87" s="56"/>
    </row>
    <row r="88" spans="1:1">
      <c r="A88" s="56"/>
    </row>
    <row r="89" spans="1:1">
      <c r="A89" s="56"/>
    </row>
    <row r="90" spans="1:1">
      <c r="A90" s="56"/>
    </row>
    <row r="91" spans="1:1">
      <c r="A91" s="56"/>
    </row>
    <row r="92" spans="1:1">
      <c r="A92" s="56"/>
    </row>
    <row r="93" spans="1:1">
      <c r="A93" s="56"/>
    </row>
    <row r="94" spans="1:1">
      <c r="A94" s="56"/>
    </row>
    <row r="95" spans="1:1">
      <c r="A95" s="56"/>
    </row>
    <row r="96" spans="1:1">
      <c r="A96" s="56"/>
    </row>
    <row r="97" spans="1:1">
      <c r="A97" s="56"/>
    </row>
    <row r="98" spans="1:1">
      <c r="A98" s="56"/>
    </row>
    <row r="99" spans="1:1">
      <c r="A99" s="56"/>
    </row>
    <row r="100" spans="1:1">
      <c r="A100" s="56"/>
    </row>
    <row r="101" spans="1:1">
      <c r="A101" s="56"/>
    </row>
    <row r="102" spans="1:1">
      <c r="A102" s="56"/>
    </row>
    <row r="103" spans="1:1">
      <c r="A103" s="56"/>
    </row>
    <row r="104" spans="1:1">
      <c r="A104" s="56"/>
    </row>
    <row r="105" spans="1:1">
      <c r="A105" s="56"/>
    </row>
    <row r="106" spans="1:1">
      <c r="A106" s="56"/>
    </row>
    <row r="107" spans="1:1">
      <c r="A107" s="56"/>
    </row>
    <row r="108" spans="1:1">
      <c r="A108" s="56"/>
    </row>
    <row r="109" spans="1:1">
      <c r="A109" s="56"/>
    </row>
    <row r="110" spans="1:1">
      <c r="A110" s="56"/>
    </row>
    <row r="111" spans="1:1">
      <c r="A111" s="56"/>
    </row>
    <row r="112" spans="1:1">
      <c r="A112" s="56"/>
    </row>
    <row r="113" spans="1:1">
      <c r="A113" s="56"/>
    </row>
    <row r="114" spans="1:1">
      <c r="A114" s="56"/>
    </row>
    <row r="115" spans="1:1">
      <c r="A115" s="56"/>
    </row>
    <row r="116" spans="1:1">
      <c r="A116" s="56"/>
    </row>
    <row r="117" spans="1:1">
      <c r="A117" s="56"/>
    </row>
    <row r="118" spans="1:1">
      <c r="A118" s="56"/>
    </row>
    <row r="119" spans="1:1">
      <c r="A119" s="56"/>
    </row>
    <row r="120" spans="1:1">
      <c r="A120" s="56"/>
    </row>
    <row r="121" spans="1:1">
      <c r="A121" s="56"/>
    </row>
    <row r="122" spans="1:1">
      <c r="A122" s="56"/>
    </row>
    <row r="123" spans="1:1">
      <c r="A123" s="56"/>
    </row>
    <row r="124" spans="1:1">
      <c r="A124" s="56"/>
    </row>
    <row r="125" spans="1:1">
      <c r="A125" s="56"/>
    </row>
    <row r="126" spans="1:1">
      <c r="A126" s="56"/>
    </row>
    <row r="127" spans="1:1">
      <c r="A127" s="56"/>
    </row>
    <row r="128" spans="1:1">
      <c r="A128" s="56"/>
    </row>
    <row r="129" spans="1:1">
      <c r="A129" s="56"/>
    </row>
    <row r="130" spans="1:1">
      <c r="A130" s="56"/>
    </row>
    <row r="131" spans="1:1">
      <c r="A131" s="56"/>
    </row>
    <row r="132" spans="1:1">
      <c r="A132" s="56"/>
    </row>
    <row r="133" spans="1:1">
      <c r="A133" s="56"/>
    </row>
    <row r="134" spans="1:1">
      <c r="A134" s="56"/>
    </row>
    <row r="135" spans="1:1">
      <c r="A135" s="56"/>
    </row>
    <row r="136" spans="1:1">
      <c r="A136" s="56"/>
    </row>
    <row r="137" spans="1:1">
      <c r="A137" s="56"/>
    </row>
    <row r="138" spans="1:1">
      <c r="A138" s="56"/>
    </row>
    <row r="139" spans="1:1">
      <c r="A139" s="56"/>
    </row>
    <row r="140" spans="1:1">
      <c r="A140" s="56"/>
    </row>
    <row r="141" spans="1:1">
      <c r="A141" s="56"/>
    </row>
    <row r="142" spans="1:1">
      <c r="A142" s="56"/>
    </row>
    <row r="143" spans="1:1">
      <c r="A143" s="56"/>
    </row>
    <row r="144" spans="1:1">
      <c r="A144" s="56"/>
    </row>
    <row r="145" spans="1:1">
      <c r="A145" s="56"/>
    </row>
    <row r="146" spans="1:1">
      <c r="A146" s="56"/>
    </row>
    <row r="147" spans="1:1">
      <c r="A147" s="56"/>
    </row>
    <row r="148" spans="1:1">
      <c r="A148" s="56"/>
    </row>
    <row r="149" spans="1:1">
      <c r="A149" s="56"/>
    </row>
    <row r="150" spans="1:1">
      <c r="A150" s="56"/>
    </row>
    <row r="151" spans="1:1">
      <c r="A151" s="56"/>
    </row>
    <row r="152" spans="1:1">
      <c r="A152" s="56"/>
    </row>
    <row r="153" spans="1:1">
      <c r="A153" s="56"/>
    </row>
    <row r="154" spans="1:1">
      <c r="A154" s="56"/>
    </row>
    <row r="155" spans="1:1">
      <c r="A155" s="56"/>
    </row>
    <row r="156" spans="1:1">
      <c r="A156" s="56"/>
    </row>
    <row r="157" spans="1:1">
      <c r="A157" s="56"/>
    </row>
    <row r="158" spans="1:1">
      <c r="A158" s="56"/>
    </row>
    <row r="159" spans="1:1">
      <c r="A159" s="56"/>
    </row>
    <row r="160" spans="1:1">
      <c r="A160" s="56"/>
    </row>
    <row r="161" spans="1:1">
      <c r="A161" s="56"/>
    </row>
    <row r="162" spans="1:1">
      <c r="A162" s="56"/>
    </row>
    <row r="163" spans="1:1">
      <c r="A163" s="56"/>
    </row>
    <row r="164" spans="1:1">
      <c r="A164" s="56"/>
    </row>
    <row r="165" spans="1:1">
      <c r="A165" s="56"/>
    </row>
    <row r="166" spans="1:1">
      <c r="A166" s="56"/>
    </row>
    <row r="167" spans="1:1">
      <c r="A167" s="56"/>
    </row>
    <row r="168" spans="1:1">
      <c r="A168" s="56"/>
    </row>
    <row r="169" spans="1:1">
      <c r="A169" s="56"/>
    </row>
    <row r="170" spans="1:1">
      <c r="A170" s="56"/>
    </row>
    <row r="171" spans="1:1">
      <c r="A171" s="56"/>
    </row>
    <row r="172" spans="1:1">
      <c r="A172" s="56"/>
    </row>
    <row r="173" spans="1:1">
      <c r="A173" s="56"/>
    </row>
    <row r="174" spans="1:1">
      <c r="A174" s="56"/>
    </row>
    <row r="175" spans="1:1">
      <c r="A175" s="56"/>
    </row>
    <row r="176" spans="1:1">
      <c r="A176" s="56"/>
    </row>
    <row r="177" spans="1:1">
      <c r="A177" s="56"/>
    </row>
  </sheetData>
  <hyperlinks>
    <hyperlink ref="B32" r:id="rId1" tooltip="https://investors.globalpayments.com/news-events/press-releases/detail/469/global-payments-announces-agreements-to-acquire-worldpay" xr:uid="{1DB2AEDD-4EEB-41C0-A683-CDDC403ADDBB}"/>
    <hyperlink ref="B33" r:id="rId2" tooltip="https://www.sec.gov/Archives/edgar/data/0001123360/000110465925035771/tm2512552d1_ex99-1.htm" xr:uid="{F50D75DF-630A-42F2-B496-2A88B23C5EB1}"/>
    <hyperlink ref="B34" r:id="rId3" tooltip="https://www.globalpayments.com/worldpay" xr:uid="{59E9C655-E37F-4C38-9C1E-39958AD2A24C}"/>
    <hyperlink ref="B35" r:id="rId4" tooltip="https://www.fisglobal.com/about-us/media-room/press-release/2024/fis-reports-strong-first-quarter-2024-results-and-increases-full-year-adjusted-eps-outlook" xr:uid="{05926FAF-AD31-4022-9524-72677C1C81FA}"/>
    <hyperlink ref="B39" r:id="rId5" tooltip="https://investors.shift4.com/news-events/press-releases/detail/246/shift4-to-acquire-global-blue-the-leading-specialty-payments-and-technology-provider-serving-luxury-brands" xr:uid="{DBFDE4D8-920F-405B-8A66-B49A185B71C9}"/>
    <hyperlink ref="B40" r:id="rId6" tooltip="https://www.sec.gov/Archives/edgar/data/0001799983/000162828025006033/gbpressreleaseacquisitio.htm" xr:uid="{8720AB08-D671-482E-A946-A3E41C186459}"/>
    <hyperlink ref="B41" r:id="rId7" tooltip="https://www.globalblue.com/en/about-us/media/fy24-25-financial-results" xr:uid="{7BB2E627-8478-492C-9DA2-C35910A96C83}"/>
    <hyperlink ref="B42" r:id="rId8" tooltip="https://www.shift4.com/news/shift4-completes-acquisition-of-global-blue" xr:uid="{4108619E-30DE-4DC2-9F64-2CB0F4873B00}"/>
    <hyperlink ref="B46" r:id="rId9" tooltip="https://www.sec.gov/Archives/edgar/data/0001765159/000095010324004743/dp209291_ex9901.htm" xr:uid="{C5188417-F150-4CCB-882D-AAF1D53CC266}"/>
    <hyperlink ref="B47" r:id="rId10" tooltip="https://www.adventinternational.com/news/nuvei-enters-into-agreement-to-be-taken-private-by-advent-international-alongside-existing-canadian-shareholders-philip-fayer-novacap-and-cdpq-at-a-price-of-us34-00-per-share/" xr:uid="{3C3E4A4B-88C0-414A-9E2C-FD69B05A50C5}"/>
    <hyperlink ref="B48" r:id="rId11" tooltip="https://www.sec.gov/Archives/edgar/data/0001765159/000176515924000006/a2023_q4xpressrelease.htm" xr:uid="{BF61CF3D-A7B2-4FBC-9F0D-AE137883E171}"/>
    <hyperlink ref="B49" r:id="rId12" tooltip="https://www.sec.gov/Archives/edgar/data/0001765159/000095010324016364/dp220747_ex9902.htm" xr:uid="{8B214F73-88C9-46C9-8064-80337A67E419}"/>
    <hyperlink ref="B53" r:id="rId13" tooltip="https://www.sec.gov/Archives/edgar/data/0001123360/000119312522207780/d252042dex991.htm" xr:uid="{D1217A57-B96A-4957-A959-E59C841B106D}"/>
    <hyperlink ref="B54" r:id="rId14" tooltip="https://www.businesswire.com/news/home/20220801005256/en/EVO-Reports-Second-Quarter-2022-Results" xr:uid="{9E0D3903-0C21-4394-B283-631DD6275923}"/>
    <hyperlink ref="B55" r:id="rId15" tooltip="https://investor.evopayments.com/investors/news-and-events/press-release/press-release-details/2022/EVO-Reports-Fourth-Quarter-and-Full-Year-2021-Results/default.aspx" xr:uid="{A116D199-B582-4446-9E20-50B8062924D0}"/>
    <hyperlink ref="B59" r:id="rId16" tooltip="https://www.sec.gov/Archives/edgar/data/0001512673/000119312521232215/d186862dex992.htm" xr:uid="{033C1273-A543-4423-BFF9-431980633A91}"/>
    <hyperlink ref="B60" r:id="rId17" tooltip="https://block.xyz/inside/square-announces-plans-to-acquire-afterpay" xr:uid="{F33F337E-F8E1-4868-8EED-98A830038DD5}"/>
    <hyperlink ref="B61" r:id="rId18" tooltip="https://investors.block.xyz/investor-news/news-details/2022/Block-Inc.-Completes-Acquisition-of-Afterpay/default.aspx" xr:uid="{52BE8907-0024-453C-B8D5-74CC276F1904}"/>
    <hyperlink ref="B65" r:id="rId19" tooltip="https://www.sec.gov/Archives/edgar/data/798354/000119312519010301/d680169dex992.htm" xr:uid="{9A765D2A-9136-41A5-BFB1-03AEA4A62BE0}"/>
    <hyperlink ref="B66" r:id="rId20" tooltip="https://www.sec.gov/Archives/edgar/data/0000798354/000119312519010304/d660232dex992.htm" xr:uid="{FF141EC2-DFB7-48B0-A432-620C8789C04B}"/>
    <hyperlink ref="B67" r:id="rId21" tooltip="https://www.sec.gov/Archives/edgar/data/0000883980/000088398019000009/" xr:uid="{CAD74518-A6CE-4F12-BD0A-F546ABD75F62}"/>
    <hyperlink ref="B68" r:id="rId22" tooltip="https://www.businesswire.com/news/home/20190206005318/en/Data-Reports-Fourth-Quarter-Full-Year-2018" xr:uid="{08945994-F4E3-4153-8891-0D94B614355A}"/>
    <hyperlink ref="B72" r:id="rId23" tooltip="https://newsroom.paypal-corp.com/2019-11-20-PayPal-to-Acquire-Honey" xr:uid="{E2F917BF-FE04-464C-8C65-AA4D4A6D0FCF}"/>
    <hyperlink ref="B73" r:id="rId24" tooltip="https://techcrunch.com/2019/11/20/paypal-to-acquire-shopping-and-rewards-platform-honey-for-4-billion/" xr:uid="{5E4CC022-91CB-4856-90EB-62CC7A63B92A}"/>
    <hyperlink ref="B74" r:id="rId25" tooltip="https://fortune.com/2019/11/21/paypal-honey-acquisition-worth-4-billion/" xr:uid="{91F75C5C-C00E-4828-AAAF-3CEE37FF5020}"/>
    <hyperlink ref="B9" r:id="rId26" display="PayPal Holdings FY2025 Form 10-K (SEC EDGAR, period ended 12/31/2025) — revenue, TPV, customer-funds balances &amp; yields, EBITDA, balance sheet, capex, D&amp;A and working-capital inputs used across the Revenue Build, IS, BS, CFS, Assumptions, DCF and LBO tabs" xr:uid="{2835A471-CCC8-4C2C-949A-304EC08FC4F0}"/>
  </hyperlinks>
  <printOptions horizontalCentered="1"/>
  <pageMargins left="0.7" right="0.7" top="0.75" bottom="0.75" header="0.3" footer="0.3"/>
  <pageSetup paperSize="5" fitToHeight="0" orientation="landscape" r:id="rId27"/>
  <headerFooter differentOddEven="1">
    <oddFooter>&amp;L&amp;"Arial"&amp;8Tyler Spencer&amp;C&amp;"Arial"&amp;8&amp;INot associated with PayPal. For educational purposes only.&amp;R&amp;"Arial"&amp;8Page &amp;P</oddFooter>
    <evenFooter>&amp;L&amp;"Arial"&amp;8Tyler Spencer&amp;C&amp;"Arial"&amp;8&amp;INot associated with PayPal. For educational purposes only.&amp;R&amp;"Arial"&amp;8Page &amp;P</evenFooter>
  </headerFooter>
  <rowBreaks count="2" manualBreakCount="2">
    <brk id="26" max="16383" man="1"/>
    <brk id="5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39</vt:i4>
      </vt:variant>
    </vt:vector>
  </HeadingPairs>
  <TitlesOfParts>
    <vt:vector size="64" baseType="lpstr">
      <vt:lpstr>Cover</vt:lpstr>
      <vt:lpstr>Summary Outputs</vt:lpstr>
      <vt:lpstr>Assumptions</vt:lpstr>
      <vt:lpstr>Scenarios</vt:lpstr>
      <vt:lpstr>Revenue Build</vt:lpstr>
      <vt:lpstr>IS</vt:lpstr>
      <vt:lpstr>BS</vt:lpstr>
      <vt:lpstr>CFS</vt:lpstr>
      <vt:lpstr>Working Capital Schedule</vt:lpstr>
      <vt:lpstr>D&amp;A Schedule</vt:lpstr>
      <vt:lpstr>Debt Schedule</vt:lpstr>
      <vt:lpstr>Income Tax Schedule</vt:lpstr>
      <vt:lpstr>Equity Schedule</vt:lpstr>
      <vt:lpstr>DCF</vt:lpstr>
      <vt:lpstr>Comps</vt:lpstr>
      <vt:lpstr>Precedents</vt:lpstr>
      <vt:lpstr>LBO</vt:lpstr>
      <vt:lpstr>IS Pro Forma</vt:lpstr>
      <vt:lpstr>BS Pro Forma</vt:lpstr>
      <vt:lpstr>CFS Pro Forma</vt:lpstr>
      <vt:lpstr>LBO Tax Schedule</vt:lpstr>
      <vt:lpstr>LBO Debt Schedule</vt:lpstr>
      <vt:lpstr>LBO Exit Valuation</vt:lpstr>
      <vt:lpstr>LBO Returns</vt:lpstr>
      <vt:lpstr>Sources</vt:lpstr>
      <vt:lpstr>Assumptions!Print_Area</vt:lpstr>
      <vt:lpstr>BS!Print_Area</vt:lpstr>
      <vt:lpstr>'BS Pro Forma'!Print_Area</vt:lpstr>
      <vt:lpstr>CFS!Print_Area</vt:lpstr>
      <vt:lpstr>'CFS Pro Forma'!Print_Area</vt:lpstr>
      <vt:lpstr>Comps!Print_Area</vt:lpstr>
      <vt:lpstr>Cover!Print_Area</vt:lpstr>
      <vt:lpstr>'D&amp;A Schedule'!Print_Area</vt:lpstr>
      <vt:lpstr>DCF!Print_Area</vt:lpstr>
      <vt:lpstr>'Debt Schedule'!Print_Area</vt:lpstr>
      <vt:lpstr>'Equity Schedule'!Print_Area</vt:lpstr>
      <vt:lpstr>'Income Tax Schedule'!Print_Area</vt:lpstr>
      <vt:lpstr>IS!Print_Area</vt:lpstr>
      <vt:lpstr>'IS Pro Forma'!Print_Area</vt:lpstr>
      <vt:lpstr>LBO!Print_Area</vt:lpstr>
      <vt:lpstr>'LBO Debt Schedule'!Print_Area</vt:lpstr>
      <vt:lpstr>'LBO Exit Valuation'!Print_Area</vt:lpstr>
      <vt:lpstr>'LBO Returns'!Print_Area</vt:lpstr>
      <vt:lpstr>'LBO Tax Schedule'!Print_Area</vt:lpstr>
      <vt:lpstr>Precedents!Print_Area</vt:lpstr>
      <vt:lpstr>'Revenue Build'!Print_Area</vt:lpstr>
      <vt:lpstr>Scenarios!Print_Area</vt:lpstr>
      <vt:lpstr>Sources!Print_Area</vt:lpstr>
      <vt:lpstr>'Summary Outputs'!Print_Area</vt:lpstr>
      <vt:lpstr>'Working Capital Schedule'!Print_Area</vt:lpstr>
      <vt:lpstr>Assumptions!Print_Titles</vt:lpstr>
      <vt:lpstr>BS!Print_Titles</vt:lpstr>
      <vt:lpstr>'BS Pro Forma'!Print_Titles</vt:lpstr>
      <vt:lpstr>CFS!Print_Titles</vt:lpstr>
      <vt:lpstr>Comps!Print_Titles</vt:lpstr>
      <vt:lpstr>DCF!Print_Titles</vt:lpstr>
      <vt:lpstr>'Debt Schedule'!Print_Titles</vt:lpstr>
      <vt:lpstr>IS!Print_Titles</vt:lpstr>
      <vt:lpstr>LBO!Print_Titles</vt:lpstr>
      <vt:lpstr>'LBO Debt Schedule'!Print_Titles</vt:lpstr>
      <vt:lpstr>Precedents!Print_Titles</vt:lpstr>
      <vt:lpstr>Scenarios!Print_Titles</vt:lpstr>
      <vt:lpstr>Sources!Print_Titles</vt:lpstr>
      <vt:lpstr>'Summary Outputs'!Print_Titles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 Street Prep</dc:creator>
  <cp:lastModifiedBy>Tyler S</cp:lastModifiedBy>
  <cp:lastPrinted>2026-07-05T22:48:39Z</cp:lastPrinted>
  <dcterms:created xsi:type="dcterms:W3CDTF">2014-05-28T19:09:08Z</dcterms:created>
  <dcterms:modified xsi:type="dcterms:W3CDTF">2026-07-05T22:51:35Z</dcterms:modified>
</cp:coreProperties>
</file>